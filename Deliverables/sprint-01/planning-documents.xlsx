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Mid-Project Release plan" sheetId="9" r:id="rId12"/>
    <sheet state="visible" name="Final Project Release plan" sheetId="10" r:id="rId13"/>
    <sheet state="visible" name="Definition of Done" sheetId="11" r:id="rId14"/>
    <sheet state="visible" name="Documentation" sheetId="12" r:id="rId15"/>
    <sheet state="visible" name="Bill of Materials" sheetId="13" r:id="rId16"/>
    <sheet state="visible" name="Planning Poker" sheetId="14" r:id="rId17"/>
  </sheets>
  <definedNames/>
  <calcPr/>
</workbook>
</file>

<file path=xl/sharedStrings.xml><?xml version="1.0" encoding="utf-8"?>
<sst xmlns="http://schemas.openxmlformats.org/spreadsheetml/2006/main" count="260" uniqueCount="158">
  <si>
    <t>Project Name</t>
  </si>
  <si>
    <t>Last Name</t>
  </si>
  <si>
    <t>Goals</t>
  </si>
  <si>
    <t>First Name</t>
  </si>
  <si>
    <t>GitHub User Name</t>
  </si>
  <si>
    <t>Ontology-Driven Operating System (ODOS)</t>
  </si>
  <si>
    <t>Email Address</t>
  </si>
  <si>
    <t>Product Owner</t>
  </si>
  <si>
    <t>Barvencik</t>
  </si>
  <si>
    <t>Ensure everyone learns the AMOS lessons</t>
  </si>
  <si>
    <t>Moritz</t>
  </si>
  <si>
    <t>moritzbarv</t>
  </si>
  <si>
    <t>barvencik@campus.tu-berlin.de ; barvencik.moritz@web.de</t>
  </si>
  <si>
    <t>Haykır</t>
  </si>
  <si>
    <t>Zeynep</t>
  </si>
  <si>
    <t>zeynephaykir</t>
  </si>
  <si>
    <t>z.haykir@campus.tu-berlin.de</t>
  </si>
  <si>
    <t>Online team meeting</t>
  </si>
  <si>
    <t>Thomits</t>
  </si>
  <si>
    <t>Nicole</t>
  </si>
  <si>
    <t>NicoleT02</t>
  </si>
  <si>
    <t>nicole.thomits@fau.de</t>
  </si>
  <si>
    <t>Helping and learning from each other</t>
  </si>
  <si>
    <t>Hirschpeck</t>
  </si>
  <si>
    <t>Leon</t>
  </si>
  <si>
    <t>leones18</t>
  </si>
  <si>
    <t>leon.hirschpeck@fau.de</t>
  </si>
  <si>
    <t>Akhlaq</t>
  </si>
  <si>
    <t>Abdullah</t>
  </si>
  <si>
    <t>Abdullah-Akhlaq</t>
  </si>
  <si>
    <t>abdullah.akhlaq@fau.de</t>
  </si>
  <si>
    <t>https://tu-berlin.zoom-x.de/j/66022239802?pwd=I409Z0ib9RwajWU4sIf7ySD1WmR0Xa.1</t>
  </si>
  <si>
    <t>Haider</t>
  </si>
  <si>
    <t>Muhammad Irfan</t>
  </si>
  <si>
    <t>irfanhaider008</t>
  </si>
  <si>
    <t>irfan.haider@fau.de</t>
  </si>
  <si>
    <t>Akram</t>
  </si>
  <si>
    <t>Wasim</t>
  </si>
  <si>
    <t>#</t>
  </si>
  <si>
    <t>WasimAkramShuvo</t>
  </si>
  <si>
    <t>wasim.akram@fau.de</t>
  </si>
  <si>
    <t>Ensure happpiness with final results</t>
  </si>
  <si>
    <t>Li</t>
  </si>
  <si>
    <t>Linfeng</t>
  </si>
  <si>
    <t>WindyLeev</t>
  </si>
  <si>
    <t>linfeng.li@campus.tu-berlin.de</t>
  </si>
  <si>
    <t>Meeting Day</t>
  </si>
  <si>
    <t>Review</t>
  </si>
  <si>
    <t>Have a good team experience</t>
  </si>
  <si>
    <t>Planning</t>
  </si>
  <si>
    <t>Software Developer</t>
  </si>
  <si>
    <t>Deliver an MVP and successfully complete the project</t>
  </si>
  <si>
    <t>Release Manager</t>
  </si>
  <si>
    <t>Scrum Master</t>
  </si>
  <si>
    <t>Comply with relevant standards</t>
  </si>
  <si>
    <t>Comment</t>
  </si>
  <si>
    <t>Meeting norms</t>
  </si>
  <si>
    <t>Be punctual</t>
  </si>
  <si>
    <t>Working norms</t>
  </si>
  <si>
    <t>--</t>
  </si>
  <si>
    <t>Complete adopted sprint backlog items by the end of a sprint</t>
  </si>
  <si>
    <t>Decide based on consensus (everyone but one needs to agree)</t>
  </si>
  <si>
    <t>Everyone else</t>
  </si>
  <si>
    <t>Coordination norms</t>
  </si>
  <si>
    <t>N/A</t>
  </si>
  <si>
    <t>Communicate information intime e.g. for meetings you might miss</t>
  </si>
  <si>
    <t>Dirk</t>
  </si>
  <si>
    <t>Communication norms</t>
  </si>
  <si>
    <t>Be open and honest about what needs saying</t>
  </si>
  <si>
    <t>Consideration norms</t>
  </si>
  <si>
    <t>Be respectful and considerate about others</t>
  </si>
  <si>
    <t>Cont. improvement norms</t>
  </si>
  <si>
    <t>Regularly update the team on progress</t>
  </si>
  <si>
    <t>Rewards</t>
  </si>
  <si>
    <t>Production system (if any)</t>
  </si>
  <si>
    <t>Sanctions</t>
  </si>
  <si>
    <t>...</t>
  </si>
  <si>
    <t>(After one warning) talk to the authorities</t>
  </si>
  <si>
    <t>Signatures</t>
  </si>
  <si>
    <t>Dirk Riehle (for Felicitas Engelhardt)</t>
  </si>
  <si>
    <t>Product owner</t>
  </si>
  <si>
    <t>Nicole Thomits</t>
  </si>
  <si>
    <t>Zeynep Haykır</t>
  </si>
  <si>
    <t>Software developer</t>
  </si>
  <si>
    <t>Muhammad Irfan Haider</t>
  </si>
  <si>
    <t>Test system (if any)</t>
  </si>
  <si>
    <t>Leon Hirschpeck</t>
  </si>
  <si>
    <t>Moritz Barvencik</t>
  </si>
  <si>
    <t>GitHub repository</t>
  </si>
  <si>
    <t>Linfeng Li</t>
  </si>
  <si>
    <t>https://github.com/amosproj/amos2026ws04-odos</t>
  </si>
  <si>
    <t>Wasim Akram</t>
  </si>
  <si>
    <t>Abdullah Akhlaq</t>
  </si>
  <si>
    <t>GitHub feature board</t>
  </si>
  <si>
    <t>https://github.com/orgs/amosproj/projects/112/views/2</t>
  </si>
  <si>
    <t>Felicitas</t>
  </si>
  <si>
    <t>TBD</t>
  </si>
  <si>
    <t>Product Vision</t>
  </si>
  <si>
    <t>GitHub imp-squared backlog</t>
  </si>
  <si>
    <t>https://github.com/orgs/amosproj/projects/116</t>
  </si>
  <si>
    <t>Project Mission</t>
  </si>
  <si>
    <t>Mid-term due</t>
  </si>
  <si>
    <t>Small and medium-sized industrial companies need software that fits their own products and processes, but they can’t afford to have it built from scratch. ODOS makes that possible. It gives them a digital twin of their product or plant that they can trust, from planning to end-of-life. Laws, standards and company rules are part of the twin, so only designs that follow them are accepted.</t>
  </si>
  <si>
    <t>Position of T-shirt logo</t>
  </si>
  <si>
    <t>In this project we look for a way to turn laws and standards into rules that a computer can check. We start with two example documents, the EU Machinery Regulation and the German Musterbauordnung. We compare different options, then work on getting the rules out of PDF documents and applying them to digital twins. At the end, we give Wisdom Bridge AI a clear recommendation and, if possible, a working prototype.</t>
  </si>
  <si>
    <t>Demo day!</t>
  </si>
  <si>
    <t>Retrospective</t>
  </si>
  <si>
    <t>Upper Torso Right Small</t>
  </si>
  <si>
    <t>Link to logo for black T-shirt</t>
  </si>
  <si>
    <t>https://github.com/amosproj/amos2026ws04-odos/blob/main/Deliverables/sprint-01/team-logo-black-shirt.svg</t>
  </si>
  <si>
    <t>Product owners, software developers, and Scrum Master are set and ideally don't change over time; the critical part is the Release Manager role you need to define here</t>
  </si>
  <si>
    <t>Link to logo for white T-shirt</t>
  </si>
  <si>
    <t>https://github.com/amosproj/amos2026ws04-odos/blob/main/Deliverables/sprint-01/team-logo.svg</t>
  </si>
  <si>
    <t>Sprint #</t>
  </si>
  <si>
    <t>Sprint goal</t>
  </si>
  <si>
    <t>Additional materials</t>
  </si>
  <si>
    <t>Set up the team and its ways of working, and establish contact with the business partner.</t>
  </si>
  <si>
    <t>Team maling list</t>
  </si>
  <si>
    <t>oss-amos-proj4@lists.fau.de</t>
  </si>
  <si>
    <t>Term</t>
  </si>
  <si>
    <t>Story Points Realized</t>
  </si>
  <si>
    <t>Definition</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</si>
  <si>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</si>
  <si>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</si>
  <si>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</si>
  <si>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</si>
  <si>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</si>
  <si>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</si>
  <si>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</si>
  <si>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</si>
  <si>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</si>
  <si>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</si>
  <si>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</si>
  <si>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</si>
  <si>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</si>
  <si>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Type</t>
  </si>
  <si>
    <t>Link / reference</t>
  </si>
  <si>
    <t>Feature Definition of Done</t>
  </si>
  <si>
    <t>Sprint Release Definition of Done</t>
  </si>
  <si>
    <t>Project Release Definition of Done</t>
  </si>
  <si>
    <t>Features</t>
  </si>
  <si>
    <t>Context</t>
  </si>
  <si>
    <t>Name</t>
  </si>
  <si>
    <t>Version</t>
  </si>
  <si>
    <t>License</t>
  </si>
  <si>
    <t>PLEASE CREATE THE BURNDOWN CHART ON A NEW TAB USING THE DATA FROM THIS TAB</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</si>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</sst>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0">
    <font>
      <sz val="10.0"/>
      <color rgb="FF000000"/>
      <name val="Arial"/>
    </font>
    <font>
      <b/>
    </font>
    <font>
      <b/>
      <name val="Arial"/>
    </font>
    <font/>
    <font>
      <name val="Arial"/>
    </font>
    <font>
      <u/>
      <color rgb="FF0000FF"/>
    </font>
    <font>
      <u/>
      <color rgb="FF0000FF"/>
    </font>
    <font>
      <u/>
      <color rgb="FF0000FF"/>
    </font>
    <font>
      <color rgb="FFFFFFFF"/>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D9EAD3"/>
        <bgColor rgb="FFD9EAD3"/>
      </patternFill>
    </fill>
    <fill>
      <patternFill patternType="solid">
        <fgColor rgb="FFF3F3F3"/>
        <bgColor rgb="FFF3F3F3"/>
      </patternFill>
    </fill>
    <fill>
      <patternFill patternType="solid">
        <fgColor rgb="FFFFF2CC"/>
        <bgColor rgb="FFFFF2CC"/>
      </patternFill>
    </fill>
    <fill>
      <patternFill patternType="solid">
        <fgColor rgb="FFF4CCCC"/>
        <bgColor rgb="FFF4CCCC"/>
      </patternFill>
    </fill>
    <fill>
      <patternFill patternType="solid">
        <fgColor rgb="FFC9DAF8"/>
        <bgColor rgb="FFC9DAF8"/>
      </patternFill>
    </fill>
  </fills>
  <borders count="1">
    <border/>
  </borders>
  <cellStyleXfs count="1">
    <xf borderId="0" fillId="0" fontId="0" numFmtId="0" applyAlignment="1" applyFont="1"/>
  </cellStyleXfs>
  <cellXfs count="111">
    <xf borderId="0" fillId="0" fontId="0" numFmtId="0" xfId="0" applyAlignment="1" applyFont="1">
      <alignment readingOrder="0" shrinkToFit="0" vertical="bottom" wrapText="1"/>
    </xf>
    <xf borderId="0" fillId="0" fontId="1" numFmtId="0" xfId="0" applyAlignment="1" applyFont="1">
      <alignment readingOrder="0" shrinkToFit="0" wrapText="0"/>
    </xf>
    <xf borderId="0" fillId="2" fontId="1" numFmtId="0" xfId="0" applyAlignment="1" applyFill="1" applyFont="1">
      <alignment horizontal="center" readingOrder="0" shrinkToFit="0" wrapText="0"/>
    </xf>
    <xf borderId="0" fillId="0" fontId="1" numFmtId="0" xfId="0" applyAlignment="1" applyFont="1">
      <alignment shrinkToFit="0" wrapText="1"/>
    </xf>
    <xf borderId="0" fillId="3" fontId="2" numFmtId="0" xfId="0" applyAlignment="1" applyFill="1" applyFont="1">
      <alignment shrinkToFit="0" vertical="bottom" wrapText="1"/>
    </xf>
    <xf borderId="0" fillId="0" fontId="3" numFmtId="0" xfId="0" applyAlignment="1" applyFont="1">
      <alignment readingOrder="0" shrinkToFit="0" wrapText="1"/>
    </xf>
    <xf borderId="0" fillId="0" fontId="3" numFmtId="0" xfId="0" applyAlignment="1" applyFont="1">
      <alignment readingOrder="0" shrinkToFit="0" wrapText="0"/>
    </xf>
    <xf borderId="0" fillId="4" fontId="4" numFmtId="0" xfId="0" applyAlignment="1" applyFill="1" applyFont="1">
      <alignment readingOrder="0" shrinkToFit="0" vertical="bottom" wrapText="1"/>
    </xf>
    <xf borderId="0" fillId="0" fontId="3" numFmtId="0" xfId="0" applyAlignment="1" applyFont="1">
      <alignment shrinkToFit="0" wrapText="1"/>
    </xf>
    <xf borderId="0" fillId="0" fontId="3" numFmtId="0" xfId="0" applyAlignment="1" applyFont="1">
      <alignment readingOrder="0" shrinkToFit="0" wrapText="1"/>
    </xf>
    <xf borderId="0" fillId="5" fontId="4" numFmtId="0" xfId="0" applyAlignment="1" applyFill="1" applyFont="1">
      <alignment shrinkToFit="0" vertical="bottom" wrapText="1"/>
    </xf>
    <xf borderId="0" fillId="0" fontId="1" numFmtId="0" xfId="0" applyAlignment="1" applyFont="1">
      <alignment readingOrder="0" shrinkToFit="0" wrapText="1"/>
    </xf>
    <xf borderId="0" fillId="2" fontId="1" numFmtId="0" xfId="0" applyAlignment="1" applyFill="1" applyFont="1">
      <alignment horizontal="center" shrinkToFit="0" wrapText="0"/>
    </xf>
    <xf borderId="0" fillId="4" fontId="3" numFmtId="0" xfId="0" applyAlignment="1" applyFill="1" applyFont="1">
      <alignment readingOrder="0" shrinkToFit="0" wrapText="1"/>
    </xf>
    <xf borderId="0" fillId="0" fontId="4" numFmtId="0" xfId="0" applyAlignment="1" applyFont="1">
      <alignment shrinkToFit="0" vertical="bottom" wrapText="1"/>
    </xf>
    <xf borderId="0" fillId="0" fontId="1" numFmtId="0" xfId="0" applyAlignment="1" applyFont="1">
      <alignment horizontal="center" readingOrder="0" shrinkToFit="0" wrapText="0"/>
    </xf>
    <xf borderId="0" fillId="6" fontId="4" numFmtId="0" xfId="0" applyAlignment="1" applyFill="1" applyFont="1">
      <alignment readingOrder="0" shrinkToFit="0" vertical="bottom" wrapText="1"/>
    </xf>
    <xf borderId="0" fillId="0" fontId="3" numFmtId="0" xfId="0" applyAlignment="1" applyFont="1">
      <alignment shrinkToFit="0" wrapText="0"/>
    </xf>
    <xf borderId="0" fillId="0" fontId="1" numFmtId="0" xfId="0" applyAlignment="1" applyFont="1">
      <alignment shrinkToFit="0" wrapText="0"/>
    </xf>
    <xf borderId="0" fillId="5" fontId="4" numFmtId="0" xfId="0" applyAlignment="1" applyFill="1" applyFont="1">
      <alignment readingOrder="0" shrinkToFit="0" vertical="bottom" wrapText="1"/>
    </xf>
    <xf borderId="0" fillId="0" fontId="1" numFmtId="0" xfId="0" applyAlignment="1" applyFont="1">
      <alignment horizontal="center" shrinkToFit="0" wrapText="0"/>
    </xf>
    <xf borderId="0" fillId="3" fontId="2" numFmtId="0" xfId="0" applyAlignment="1" applyFill="1" applyFont="1">
      <alignment readingOrder="0" shrinkToFit="0" vertical="bottom" wrapText="1"/>
    </xf>
    <xf borderId="0" fillId="0" fontId="3" numFmtId="0" xfId="0" applyAlignment="1" applyFont="1">
      <alignment horizontal="center" shrinkToFit="0" wrapText="0"/>
    </xf>
    <xf borderId="0" fillId="3" fontId="4" numFmtId="0" xfId="0" applyAlignment="1" applyFill="1" applyFont="1">
      <alignment readingOrder="0" shrinkToFit="0" vertical="bottom" wrapText="1"/>
    </xf>
    <xf borderId="0" fillId="0" fontId="3" numFmtId="164" xfId="0" applyAlignment="1" applyFont="1" applyNumberFormat="1">
      <alignment readingOrder="0" shrinkToFit="0" wrapText="0"/>
    </xf>
    <xf borderId="0" fillId="5" fontId="4" numFmtId="0" xfId="0" applyAlignment="1" applyFill="1" applyFont="1">
      <alignment shrinkToFit="0" vertical="bottom" wrapText="1"/>
    </xf>
    <xf borderId="0" fillId="0" fontId="3" numFmtId="165" xfId="0" applyAlignment="1" applyFont="1" applyNumberFormat="1">
      <alignment horizontal="left" readingOrder="0" shrinkToFit="0" wrapText="0"/>
    </xf>
    <xf borderId="0" fillId="3" fontId="2" numFmtId="0" xfId="0" applyAlignment="1" applyFill="1" applyFont="1">
      <alignment shrinkToFit="0" vertical="bottom" wrapText="1"/>
    </xf>
    <xf borderId="0" fillId="0" fontId="5" numFmtId="0" xfId="0" applyAlignment="1" applyFont="1">
      <alignment readingOrder="0" shrinkToFit="0" wrapText="1"/>
    </xf>
    <xf borderId="0" fillId="3" fontId="4" numFmtId="0" xfId="0" applyAlignment="1" applyFill="1" applyFont="1">
      <alignment shrinkToFit="0" vertical="bottom" wrapText="1"/>
    </xf>
    <xf borderId="0" fillId="0" fontId="3" numFmtId="0" xfId="0" applyAlignment="1" applyFont="1">
      <alignment shrinkToFit="0" wrapText="1"/>
    </xf>
    <xf borderId="0" fillId="0" fontId="3" numFmtId="164" xfId="0" applyAlignment="1" applyFont="1" applyNumberFormat="1">
      <alignment shrinkToFit="0" wrapText="0"/>
    </xf>
    <xf borderId="0" fillId="0" fontId="6" numFmtId="0" xfId="0" applyAlignment="1" applyFont="1">
      <alignment readingOrder="0" shrinkToFit="0" wrapText="1"/>
    </xf>
    <xf borderId="0" fillId="2" fontId="1" numFmtId="0" xfId="0" applyAlignment="1" applyFill="1" applyFont="1">
      <alignment readingOrder="0" shrinkToFit="0" wrapText="1"/>
    </xf>
    <xf borderId="0" fillId="3" fontId="3" numFmtId="0" xfId="0" applyAlignment="1" applyFill="1" applyFont="1">
      <alignment shrinkToFit="0" wrapText="1"/>
    </xf>
    <xf borderId="0" fillId="3" fontId="3" numFmtId="0" xfId="0" applyAlignment="1" applyFill="1" applyFont="1">
      <alignment readingOrder="0" shrinkToFit="0" wrapText="1"/>
    </xf>
    <xf borderId="0" fillId="0" fontId="3" numFmtId="0" xfId="0" applyAlignment="1" applyFont="1">
      <alignment horizontal="left" readingOrder="0" shrinkToFit="0" wrapText="0"/>
    </xf>
    <xf borderId="0" fillId="5" fontId="4" numFmtId="0" xfId="0" applyAlignment="1" applyFill="1" applyFont="1">
      <alignment readingOrder="0" shrinkToFit="0" vertical="top" wrapText="1"/>
    </xf>
    <xf borderId="0" fillId="0" fontId="1" numFmtId="0" xfId="0" applyAlignment="1" applyFont="1">
      <alignment readingOrder="0" shrinkToFit="0" wrapText="1"/>
    </xf>
    <xf borderId="0" fillId="0" fontId="3" numFmtId="165" xfId="0" applyAlignment="1" applyFont="1" applyNumberFormat="1">
      <alignment shrinkToFit="0" wrapText="0"/>
    </xf>
    <xf borderId="0" fillId="0" fontId="3" numFmtId="165" xfId="0" applyAlignment="1" applyFont="1" applyNumberFormat="1">
      <alignment horizontal="left" shrinkToFit="0" wrapText="0"/>
    </xf>
    <xf borderId="0" fillId="0" fontId="3" numFmtId="165" xfId="0" applyAlignment="1" applyFont="1" applyNumberFormat="1">
      <alignment horizontal="left" shrinkToFit="0" wrapText="0"/>
    </xf>
    <xf borderId="0" fillId="0" fontId="3" numFmtId="0" xfId="0" applyAlignment="1" applyFont="1">
      <alignment horizontal="left" shrinkToFit="0" wrapText="0"/>
    </xf>
    <xf borderId="0" fillId="0" fontId="1" numFmtId="0" xfId="0" applyAlignment="1" applyFont="1">
      <alignment horizontal="left" readingOrder="0" shrinkToFit="0" wrapText="1"/>
    </xf>
    <xf borderId="0" fillId="0" fontId="7" numFmtId="0" xfId="0" applyAlignment="1" applyFont="1">
      <alignment readingOrder="0" shrinkToFit="0" wrapText="1"/>
    </xf>
    <xf borderId="0" fillId="0" fontId="3" numFmtId="0" xfId="0" applyAlignment="1" applyFont="1">
      <alignment horizontal="left" readingOrder="0" shrinkToFit="0" wrapText="1"/>
    </xf>
    <xf borderId="0" fillId="0" fontId="3" numFmtId="0" xfId="0" applyAlignment="1" applyFont="1">
      <alignment horizontal="left" shrinkToFit="0" wrapText="1"/>
    </xf>
    <xf borderId="0" fillId="0" fontId="1" numFmtId="0" xfId="0" applyAlignment="1" applyFont="1">
      <alignment shrinkToFit="0" wrapText="1"/>
    </xf>
    <xf borderId="0" fillId="7" fontId="1" numFmtId="0" xfId="0" applyAlignment="1" applyFill="1" applyFont="1">
      <alignment readingOrder="0" shrinkToFit="0" wrapText="1"/>
    </xf>
    <xf borderId="0" fillId="2" fontId="2" numFmtId="0" xfId="0" applyAlignment="1" applyFill="1" applyFont="1">
      <alignment horizontal="left" shrinkToFit="0" vertical="bottom" wrapText="1"/>
    </xf>
    <xf borderId="0" fillId="2" fontId="2" numFmtId="0" xfId="0" applyAlignment="1" applyFill="1" applyFont="1">
      <alignment shrinkToFit="0" vertical="bottom" wrapText="0"/>
    </xf>
    <xf borderId="0" fillId="2" fontId="2" numFmtId="0" xfId="0" applyAlignment="1" applyFill="1" applyFont="1">
      <alignment shrinkToFit="0" vertical="bottom" wrapText="0"/>
    </xf>
    <xf borderId="0" fillId="2" fontId="2" numFmtId="0" xfId="0" applyAlignment="1" applyFill="1" applyFont="1">
      <alignment horizontal="center" readingOrder="0" shrinkToFit="0" vertical="bottom" wrapText="1"/>
    </xf>
    <xf borderId="0" fillId="3" fontId="4" numFmtId="0" xfId="0" applyAlignment="1" applyFill="1" applyFont="1">
      <alignment horizontal="left" shrinkToFit="0" vertical="bottom" wrapText="1"/>
    </xf>
    <xf borderId="0" fillId="3" fontId="4" numFmtId="0" xfId="0" applyAlignment="1" applyFill="1" applyFont="1">
      <alignment shrinkToFit="0" vertical="bottom" wrapText="0"/>
    </xf>
    <xf borderId="0" fillId="8" fontId="2" numFmtId="0" xfId="0" applyAlignment="1" applyFill="1" applyFont="1">
      <alignment horizontal="left" shrinkToFit="0" vertical="bottom" wrapText="0"/>
    </xf>
    <xf borderId="0" fillId="8" fontId="4" numFmtId="0" xfId="0" applyAlignment="1" applyFill="1" applyFont="1">
      <alignment shrinkToFit="0" vertical="bottom" wrapText="0"/>
    </xf>
    <xf borderId="0" fillId="8" fontId="4" numFmtId="0" xfId="0" applyAlignment="1" applyFill="1" applyFont="1">
      <alignment shrinkToFit="0" vertical="bottom" wrapText="1"/>
    </xf>
    <xf borderId="0" fillId="5" fontId="2" numFmtId="0" xfId="0" applyAlignment="1" applyFill="1" applyFont="1">
      <alignment shrinkToFit="0" vertical="bottom" wrapText="0"/>
    </xf>
    <xf borderId="0" fillId="0" fontId="3" numFmtId="0" xfId="0" applyAlignment="1" applyFont="1">
      <alignment shrinkToFit="0" wrapText="0"/>
    </xf>
    <xf borderId="0" fillId="5" fontId="4" numFmtId="0" xfId="0" applyAlignment="1" applyFill="1" applyFont="1">
      <alignment horizontal="right" shrinkToFit="0" vertical="bottom" wrapText="0"/>
    </xf>
    <xf borderId="0" fillId="6" fontId="2" numFmtId="0" xfId="0" applyAlignment="1" applyFill="1" applyFont="1">
      <alignment horizontal="left" shrinkToFit="0" vertical="bottom" wrapText="0"/>
    </xf>
    <xf borderId="0" fillId="6" fontId="2" numFmtId="0" xfId="0" applyAlignment="1" applyFill="1" applyFont="1">
      <alignment shrinkToFit="0" vertical="bottom" wrapText="0"/>
    </xf>
    <xf borderId="0" fillId="6" fontId="4" numFmtId="0" xfId="0" applyAlignment="1" applyFill="1" applyFont="1">
      <alignment shrinkToFit="0" vertical="bottom" wrapText="1"/>
    </xf>
    <xf borderId="0" fillId="3" fontId="8" numFmtId="0" xfId="0" applyAlignment="1" applyFill="1" applyFont="1">
      <alignment horizontal="center" shrinkToFit="0" vertical="bottom" wrapText="0"/>
    </xf>
    <xf borderId="0" fillId="5" fontId="4" numFmtId="0" xfId="0" applyAlignment="1" applyFill="1" applyFont="1">
      <alignment horizontal="left" shrinkToFit="0" vertical="bottom" wrapText="1"/>
    </xf>
    <xf borderId="0" fillId="2" fontId="2" numFmtId="0" xfId="0" applyAlignment="1" applyFill="1" applyFont="1">
      <alignment shrinkToFit="0" vertical="bottom" wrapText="1"/>
    </xf>
    <xf borderId="0" fillId="2" fontId="2" numFmtId="0" xfId="0" applyAlignment="1" applyFill="1" applyFont="1">
      <alignment readingOrder="0" shrinkToFit="0" vertical="bottom" wrapText="0"/>
    </xf>
    <xf borderId="0" fillId="3" fontId="4" numFmtId="0" xfId="0" applyAlignment="1" applyFill="1" applyFont="1">
      <alignment horizontal="right" shrinkToFit="0" vertical="bottom" wrapText="0"/>
    </xf>
    <xf borderId="0" fillId="2" fontId="2" numFmtId="0" xfId="0" applyAlignment="1" applyFill="1" applyFont="1">
      <alignment shrinkToFit="0" vertical="bottom" wrapText="1"/>
    </xf>
    <xf borderId="0" fillId="3" fontId="4" numFmtId="0" xfId="0" applyAlignment="1" applyFill="1" applyFont="1">
      <alignment horizontal="left" readingOrder="0" shrinkToFit="0" vertical="bottom" wrapText="1"/>
    </xf>
    <xf borderId="0" fillId="3" fontId="4" numFmtId="0" xfId="0" applyAlignment="1" applyFill="1" applyFont="1">
      <alignment shrinkToFit="0" vertical="bottom" wrapText="0"/>
    </xf>
    <xf borderId="0" fillId="4" fontId="2" numFmtId="0" xfId="0" applyAlignment="1" applyFill="1" applyFont="1">
      <alignment horizontal="left" shrinkToFit="0" vertical="bottom" wrapText="0"/>
    </xf>
    <xf borderId="0" fillId="4" fontId="2" numFmtId="0" xfId="0" applyAlignment="1" applyFill="1" applyFont="1">
      <alignment shrinkToFit="0" vertical="bottom" wrapText="0"/>
    </xf>
    <xf borderId="0" fillId="4" fontId="4" numFmtId="0" xfId="0" applyAlignment="1" applyFill="1" applyFont="1">
      <alignment shrinkToFit="0" vertical="bottom" wrapText="1"/>
    </xf>
    <xf borderId="0" fillId="3" fontId="2" numFmtId="0" xfId="0" applyAlignment="1" applyFill="1" applyFont="1">
      <alignment horizontal="left" shrinkToFit="0" vertical="bottom" wrapText="0"/>
    </xf>
    <xf borderId="0" fillId="3" fontId="2" numFmtId="0" xfId="0" applyAlignment="1" applyFill="1" applyFont="1">
      <alignment shrinkToFit="0" vertical="bottom" wrapText="0"/>
    </xf>
    <xf borderId="0" fillId="5" fontId="4" numFmtId="0" xfId="0" applyAlignment="1" applyFill="1" applyFont="1">
      <alignment shrinkToFit="0" vertical="bottom" wrapText="0"/>
    </xf>
    <xf borderId="0" fillId="3" fontId="4" numFmtId="0" xfId="0" applyAlignment="1" applyFill="1" applyFont="1">
      <alignment horizontal="right" shrinkToFit="0" vertical="bottom" wrapText="0"/>
    </xf>
    <xf borderId="0" fillId="3" fontId="4" numFmtId="0" xfId="0" applyAlignment="1" applyFill="1" applyFont="1">
      <alignment horizontal="left" shrinkToFit="0" vertical="bottom" wrapText="1"/>
    </xf>
    <xf borderId="0" fillId="6" fontId="2" numFmtId="0" xfId="0" applyAlignment="1" applyFill="1" applyFont="1">
      <alignment shrinkToFit="0" vertical="bottom" wrapText="0"/>
    </xf>
    <xf borderId="0" fillId="2" fontId="2" numFmtId="0" xfId="0" applyAlignment="1" applyFill="1" applyFont="1">
      <alignment shrinkToFit="0" vertical="center" wrapText="1"/>
    </xf>
    <xf borderId="0" fillId="7" fontId="1" numFmtId="0" xfId="0" applyAlignment="1" applyFill="1" applyFont="1">
      <alignment readingOrder="0" shrinkToFit="0" wrapText="0"/>
    </xf>
    <xf borderId="0" fillId="2" fontId="2" numFmtId="0" xfId="0" applyAlignment="1" applyFill="1" applyFont="1">
      <alignment horizontal="center" shrinkToFit="0" vertical="center" wrapText="1"/>
    </xf>
    <xf borderId="0" fillId="2" fontId="2" numFmtId="4" xfId="0" applyAlignment="1" applyFill="1" applyFont="1" applyNumberFormat="1">
      <alignment shrinkToFit="0" vertical="center" wrapText="1"/>
    </xf>
    <xf borderId="0" fillId="2" fontId="4" numFmtId="4" xfId="0" applyAlignment="1" applyFill="1" applyFont="1" applyNumberFormat="1">
      <alignment shrinkToFit="0" vertical="center" wrapText="1"/>
    </xf>
    <xf borderId="0" fillId="2" fontId="4" numFmtId="0" xfId="0" applyAlignment="1" applyFill="1" applyFont="1">
      <alignment shrinkToFit="0" vertical="center" wrapText="1"/>
    </xf>
    <xf borderId="0" fillId="2" fontId="1" numFmtId="0" xfId="0" applyAlignment="1" applyFill="1" applyFont="1">
      <alignment shrinkToFit="0" vertical="center" wrapText="1"/>
    </xf>
    <xf borderId="0" fillId="3" fontId="2" numFmtId="0" xfId="0" applyAlignment="1" applyFill="1" applyFont="1">
      <alignment shrinkToFit="0" vertical="center" wrapText="1"/>
    </xf>
    <xf borderId="0" fillId="7" fontId="4" numFmtId="0" xfId="0" applyAlignment="1" applyFill="1" applyFont="1">
      <alignment horizontal="center" readingOrder="0" shrinkToFit="0" vertical="center" wrapText="1"/>
    </xf>
    <xf borderId="0" fillId="3" fontId="4" numFmtId="4" xfId="0" applyAlignment="1" applyFill="1" applyFont="1" applyNumberFormat="1">
      <alignment shrinkToFit="0" vertical="center" wrapText="1"/>
    </xf>
    <xf borderId="0" fillId="4" fontId="9" numFmtId="4" xfId="0" applyAlignment="1" applyFill="1" applyFont="1" applyNumberFormat="1">
      <alignment horizontal="center" shrinkToFit="0" vertical="center" wrapText="1"/>
    </xf>
    <xf borderId="0" fillId="4" fontId="9" numFmtId="0" xfId="0" applyAlignment="1" applyFill="1" applyFont="1">
      <alignment horizontal="center" shrinkToFit="0" vertical="center" wrapText="1"/>
    </xf>
    <xf borderId="0" fillId="3" fontId="3" numFmtId="0" xfId="0" applyAlignment="1" applyFill="1" applyFont="1">
      <alignment shrinkToFit="0" vertical="center" wrapText="1"/>
    </xf>
    <xf borderId="0" fillId="3" fontId="4" numFmtId="0" xfId="0" applyAlignment="1" applyFill="1" applyFont="1">
      <alignment shrinkToFit="0" vertical="bottom" wrapText="1"/>
    </xf>
    <xf borderId="0" fillId="5" fontId="4" numFmtId="4" xfId="0" applyAlignment="1" applyFill="1" applyFont="1" applyNumberFormat="1">
      <alignment shrinkToFit="0" vertical="center" wrapText="1"/>
    </xf>
    <xf borderId="0" fillId="5" fontId="3" numFmtId="0" xfId="0" applyAlignment="1" applyFill="1" applyFont="1">
      <alignment shrinkToFit="0" vertical="center" wrapText="1"/>
    </xf>
    <xf borderId="0" fillId="5" fontId="2" numFmtId="0" xfId="0" applyAlignment="1" applyFill="1" applyFont="1">
      <alignment shrinkToFit="0" vertical="center" wrapText="1"/>
    </xf>
    <xf borderId="0" fillId="7" fontId="4" numFmtId="0" xfId="0" applyAlignment="1" applyFill="1" applyFont="1">
      <alignment horizontal="center" shrinkToFit="0" vertical="center" wrapText="1"/>
    </xf>
    <xf borderId="0" fillId="7" fontId="4" numFmtId="0" xfId="0" applyAlignment="1" applyFill="1" applyFont="1">
      <alignment horizontal="center" shrinkToFit="0" vertical="center" wrapText="1"/>
    </xf>
    <xf borderId="0" fillId="5" fontId="4" numFmtId="0" xfId="0" applyAlignment="1" applyFill="1" applyFont="1">
      <alignment shrinkToFit="0" vertical="center" wrapText="1"/>
    </xf>
    <xf borderId="0" fillId="3" fontId="4" numFmtId="0" xfId="0" applyAlignment="1" applyFill="1" applyFont="1">
      <alignment shrinkToFit="0" vertical="center" wrapText="1"/>
    </xf>
    <xf borderId="0" fillId="6" fontId="4" numFmtId="0" xfId="0" applyAlignment="1" applyFill="1" applyFont="1">
      <alignment horizontal="center" shrinkToFit="0" vertical="center" wrapText="1"/>
    </xf>
    <xf borderId="0" fillId="6" fontId="4" numFmtId="0" xfId="0" applyAlignment="1" applyFill="1" applyFont="1">
      <alignment readingOrder="0" shrinkToFit="0" vertical="center" wrapText="1"/>
    </xf>
    <xf borderId="0" fillId="5" fontId="1" numFmtId="0" xfId="0" applyAlignment="1" applyFill="1" applyFont="1">
      <alignment shrinkToFit="0" wrapText="1"/>
    </xf>
    <xf borderId="0" fillId="3" fontId="1" numFmtId="0" xfId="0" applyAlignment="1" applyFill="1" applyFont="1">
      <alignment shrinkToFit="0" wrapText="0"/>
    </xf>
    <xf borderId="0" fillId="3" fontId="1" numFmtId="0" xfId="0" applyAlignment="1" applyFill="1" applyFont="1">
      <alignment shrinkToFit="0" wrapText="0"/>
    </xf>
    <xf borderId="0" fillId="5" fontId="3" numFmtId="0" xfId="0" applyAlignment="1" applyFill="1" applyFont="1">
      <alignment shrinkToFit="0" wrapText="0"/>
    </xf>
    <xf borderId="0" fillId="3" fontId="3" numFmtId="0" xfId="0" applyAlignment="1" applyFill="1" applyFont="1">
      <alignment shrinkToFit="0" wrapText="0"/>
    </xf>
    <xf borderId="0" fillId="3" fontId="3" numFmtId="0" xfId="0" applyAlignment="1" applyFill="1" applyFont="1">
      <alignment shrinkToFit="0" wrapText="0"/>
    </xf>
    <xf borderId="0" fillId="5" fontId="3" numFmtId="0" xfId="0" applyAlignment="1" applyFill="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2">
  <tableColumns count="2">
    <tableColumn name="Project Name" id="1"/>
    <tableColumn name="Ontology-Driven Operating System (ODOS)"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1">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4" name="Table_4"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5" displayName="Table_3" name="Table_3" id="4">
  <tableColumns count="2">
    <tableColumn name="Goals" id="1"/>
    <tableColumn name="Ensure everyone learns the AMOS lessons" id="2"/>
  </tableColumns>
  <tableStyleInfo name="Team Contract-style" showColumnStripes="0" showFirstColumn="1" showLastColumn="1" showRowStripes="1"/>
</table>
</file>

<file path=xl/tables/table5.xml><?xml version="1.0" encoding="utf-8"?>
<table xmlns="http://schemas.openxmlformats.org/spreadsheetml/2006/main" ref="A1:B20" displayName="Table_6" name="Table_6" id="6">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5" name="Table_5" id="5">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G34"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34" displayName="Table_11" name="Table_11" id="11">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9" name="Table_9" id="9">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20"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6022239802?pwd=I409Z0ib9RwajWU4sIf7ySD1WmR0Xa.1" TargetMode="External"/><Relationship Id="rId2" Type="http://schemas.openxmlformats.org/officeDocument/2006/relationships/hyperlink" Target="https://github.com/amosproj/amos2026ws04-odos" TargetMode="External"/><Relationship Id="rId3" Type="http://schemas.openxmlformats.org/officeDocument/2006/relationships/hyperlink" Target="https://github.com/orgs/amosproj/projects/112/views/2" TargetMode="External"/><Relationship Id="rId4" Type="http://schemas.openxmlformats.org/officeDocument/2006/relationships/hyperlink" Target="https://github.com/orgs/amosproj/projects/116" TargetMode="External"/><Relationship Id="rId9" Type="http://schemas.openxmlformats.org/officeDocument/2006/relationships/table" Target="../tables/table1.xml"/><Relationship Id="rId5" Type="http://schemas.openxmlformats.org/officeDocument/2006/relationships/hyperlink" Target="https://github.com/amosproj/amos2026ws04-odos/blob/main/Deliverables/sprint-01/team-logo-black-shirt.svg" TargetMode="External"/><Relationship Id="rId6" Type="http://schemas.openxmlformats.org/officeDocument/2006/relationships/hyperlink" Target="https://github.com/amosproj/amos2026ws04-odos/blob/main/Deliverables/sprint-01/team-logo.svg"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3" t="s">
        <v>0</v>
      </c>
      <c r="B1" s="5" t="s">
        <v>5</v>
      </c>
    </row>
    <row r="2">
      <c r="A2" s="3"/>
      <c r="B2" s="8"/>
    </row>
    <row r="3">
      <c r="A3" s="11" t="s">
        <v>17</v>
      </c>
      <c r="B3" s="28" t="s">
        <v>31</v>
      </c>
    </row>
    <row r="4">
      <c r="A4" s="3"/>
      <c r="B4" s="8"/>
    </row>
    <row r="5">
      <c r="A5" s="11" t="s">
        <v>74</v>
      </c>
      <c r="B5" s="5" t="s">
        <v>76</v>
      </c>
    </row>
    <row r="6">
      <c r="A6" s="11" t="s">
        <v>85</v>
      </c>
      <c r="B6" s="5" t="s">
        <v>76</v>
      </c>
    </row>
    <row r="7">
      <c r="A7" s="3"/>
      <c r="B7" s="8"/>
    </row>
    <row r="8">
      <c r="A8" s="11" t="s">
        <v>88</v>
      </c>
      <c r="B8" s="28" t="s">
        <v>90</v>
      </c>
    </row>
    <row r="9">
      <c r="A9" s="11" t="s">
        <v>93</v>
      </c>
      <c r="B9" s="32" t="s">
        <v>94</v>
      </c>
    </row>
    <row r="10">
      <c r="A10" s="11" t="s">
        <v>98</v>
      </c>
      <c r="B10" s="32" t="s">
        <v>99</v>
      </c>
    </row>
    <row r="11">
      <c r="A11" s="3"/>
      <c r="B11" s="8"/>
    </row>
    <row r="12">
      <c r="A12" s="38" t="s">
        <v>103</v>
      </c>
      <c r="B12" s="5" t="s">
        <v>107</v>
      </c>
    </row>
    <row r="13">
      <c r="A13" s="11" t="s">
        <v>108</v>
      </c>
      <c r="B13" s="32" t="s">
        <v>109</v>
      </c>
    </row>
    <row r="14">
      <c r="A14" s="11" t="s">
        <v>111</v>
      </c>
      <c r="B14" s="44" t="s">
        <v>112</v>
      </c>
    </row>
    <row r="15">
      <c r="A15" s="3"/>
      <c r="B15" s="8"/>
    </row>
    <row r="16">
      <c r="A16" s="3" t="s">
        <v>115</v>
      </c>
      <c r="B16" s="8" t="s">
        <v>76</v>
      </c>
    </row>
    <row r="17">
      <c r="A17" s="3"/>
      <c r="B17" s="8"/>
    </row>
    <row r="18">
      <c r="A18" s="11" t="s">
        <v>117</v>
      </c>
      <c r="B18" s="5" t="s">
        <v>118</v>
      </c>
    </row>
    <row r="19">
      <c r="A19" s="3"/>
      <c r="B19" s="8"/>
    </row>
    <row r="20">
      <c r="A20" s="3"/>
      <c r="B20" s="8"/>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s>
  <printOptions gridLines="1" horizontalCentered="1"/>
  <pageMargins bottom="0.75" footer="0.0" header="0.0" left="0.7" right="0.7" top="0.75"/>
  <pageSetup fitToHeight="0" paperSize="9" cellComments="atEnd" orientation="landscape" pageOrder="overThenDown"/>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3" width="31.38"/>
    <col customWidth="1" min="4" max="4" width="49.13"/>
  </cols>
  <sheetData>
    <row r="1">
      <c r="A1" s="1" t="s">
        <v>1</v>
      </c>
      <c r="B1" s="1" t="s">
        <v>3</v>
      </c>
      <c r="C1" s="1" t="s">
        <v>4</v>
      </c>
      <c r="D1" s="1" t="s">
        <v>6</v>
      </c>
    </row>
    <row r="2">
      <c r="A2" s="6" t="s">
        <v>8</v>
      </c>
      <c r="B2" s="6" t="s">
        <v>10</v>
      </c>
      <c r="C2" s="6" t="s">
        <v>11</v>
      </c>
      <c r="D2" s="6" t="s">
        <v>12</v>
      </c>
    </row>
    <row r="3">
      <c r="A3" s="6" t="s">
        <v>13</v>
      </c>
      <c r="B3" s="6" t="s">
        <v>14</v>
      </c>
      <c r="C3" s="6" t="s">
        <v>15</v>
      </c>
      <c r="D3" s="9" t="s">
        <v>16</v>
      </c>
    </row>
    <row r="4">
      <c r="A4" s="6" t="s">
        <v>18</v>
      </c>
      <c r="B4" s="6" t="s">
        <v>19</v>
      </c>
      <c r="C4" s="6" t="s">
        <v>20</v>
      </c>
      <c r="D4" s="6" t="s">
        <v>21</v>
      </c>
    </row>
    <row r="5">
      <c r="A5" s="6" t="s">
        <v>23</v>
      </c>
      <c r="B5" s="6" t="s">
        <v>24</v>
      </c>
      <c r="C5" s="6" t="s">
        <v>25</v>
      </c>
      <c r="D5" s="6" t="s">
        <v>26</v>
      </c>
    </row>
    <row r="6">
      <c r="A6" s="6" t="s">
        <v>27</v>
      </c>
      <c r="B6" s="6" t="s">
        <v>28</v>
      </c>
      <c r="C6" s="6" t="s">
        <v>29</v>
      </c>
      <c r="D6" s="6" t="s">
        <v>30</v>
      </c>
    </row>
    <row r="7">
      <c r="A7" s="6" t="s">
        <v>32</v>
      </c>
      <c r="B7" s="6" t="s">
        <v>33</v>
      </c>
      <c r="C7" s="6" t="s">
        <v>34</v>
      </c>
      <c r="D7" s="6" t="s">
        <v>35</v>
      </c>
    </row>
    <row r="8">
      <c r="A8" s="6" t="s">
        <v>36</v>
      </c>
      <c r="B8" s="6" t="s">
        <v>37</v>
      </c>
      <c r="C8" s="6" t="s">
        <v>39</v>
      </c>
      <c r="D8" s="6" t="s">
        <v>40</v>
      </c>
    </row>
    <row r="9">
      <c r="A9" s="6" t="s">
        <v>42</v>
      </c>
      <c r="B9" s="6" t="s">
        <v>43</v>
      </c>
      <c r="C9" s="6" t="s">
        <v>44</v>
      </c>
      <c r="D9" s="6" t="s">
        <v>45</v>
      </c>
    </row>
    <row r="10">
      <c r="A10" s="6"/>
      <c r="B10" s="6"/>
      <c r="C10" s="17"/>
      <c r="D10" s="17"/>
    </row>
    <row r="11">
      <c r="A11" s="17"/>
      <c r="B11" s="17"/>
      <c r="C11" s="17"/>
      <c r="D11" s="17"/>
    </row>
    <row r="12">
      <c r="A12" s="1"/>
      <c r="B12" s="18"/>
      <c r="C12" s="18"/>
      <c r="D12" s="18"/>
    </row>
    <row r="13">
      <c r="A13" s="17"/>
      <c r="B13" s="6"/>
      <c r="C13" s="17"/>
      <c r="D13" s="17"/>
    </row>
    <row r="14">
      <c r="A14" s="17"/>
      <c r="B14" s="6"/>
      <c r="C14" s="17"/>
      <c r="D14" s="17"/>
    </row>
    <row r="15">
      <c r="A15" s="6"/>
      <c r="B15" s="6"/>
      <c r="C15" s="6"/>
      <c r="D15" s="6"/>
    </row>
    <row r="16">
      <c r="A16" s="17"/>
      <c r="B16" s="17"/>
      <c r="C16" s="17"/>
      <c r="D16" s="17"/>
    </row>
    <row r="17">
      <c r="A17" s="17"/>
      <c r="B17" s="17"/>
      <c r="C17" s="17"/>
      <c r="D17" s="17"/>
    </row>
    <row r="18">
      <c r="A18" s="17"/>
      <c r="B18" s="17"/>
      <c r="C18" s="17"/>
      <c r="D18" s="17"/>
    </row>
    <row r="19">
      <c r="A19" s="17"/>
      <c r="B19" s="17"/>
      <c r="C19" s="17"/>
      <c r="D19" s="17"/>
    </row>
    <row r="20">
      <c r="A20" s="17"/>
      <c r="B20" s="17"/>
      <c r="C20" s="17"/>
      <c r="D20" s="17"/>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2"/>
      <c r="B1" s="2"/>
      <c r="C1" s="2" t="s">
        <v>7</v>
      </c>
      <c r="E1" s="2"/>
      <c r="F1" s="12"/>
      <c r="G1" s="12"/>
      <c r="H1" s="2"/>
    </row>
    <row r="2">
      <c r="A2" s="15" t="s">
        <v>38</v>
      </c>
      <c r="B2" s="15" t="s">
        <v>46</v>
      </c>
      <c r="C2" s="15" t="s">
        <v>47</v>
      </c>
      <c r="D2" s="15" t="s">
        <v>49</v>
      </c>
      <c r="E2" s="15" t="s">
        <v>50</v>
      </c>
      <c r="F2" s="20" t="s">
        <v>52</v>
      </c>
      <c r="G2" s="20" t="s">
        <v>53</v>
      </c>
      <c r="H2" s="15" t="s">
        <v>55</v>
      </c>
    </row>
    <row r="3">
      <c r="A3" s="22">
        <v>1.0</v>
      </c>
      <c r="B3" s="24">
        <v>46309.0</v>
      </c>
      <c r="C3" s="6" t="s">
        <v>59</v>
      </c>
      <c r="D3" s="6" t="s">
        <v>14</v>
      </c>
      <c r="E3" s="6" t="s">
        <v>62</v>
      </c>
      <c r="F3" s="6" t="s">
        <v>64</v>
      </c>
      <c r="G3" s="6" t="s">
        <v>66</v>
      </c>
      <c r="H3" s="26"/>
    </row>
    <row r="4">
      <c r="A4" s="22">
        <v>2.0</v>
      </c>
      <c r="B4" s="31">
        <f t="shared" ref="B4:B11" si="1">B3+7</f>
        <v>46316</v>
      </c>
      <c r="C4" s="6" t="s">
        <v>14</v>
      </c>
      <c r="D4" s="6" t="s">
        <v>19</v>
      </c>
      <c r="E4" s="6" t="s">
        <v>62</v>
      </c>
      <c r="F4" s="6" t="s">
        <v>10</v>
      </c>
      <c r="G4" s="6" t="s">
        <v>95</v>
      </c>
      <c r="H4" s="26"/>
    </row>
    <row r="5">
      <c r="A5" s="22">
        <v>3.0</v>
      </c>
      <c r="B5" s="31">
        <f t="shared" si="1"/>
        <v>46323</v>
      </c>
      <c r="C5" s="6" t="s">
        <v>19</v>
      </c>
      <c r="D5" s="6" t="s">
        <v>14</v>
      </c>
      <c r="E5" s="6" t="s">
        <v>62</v>
      </c>
      <c r="F5" s="6" t="s">
        <v>96</v>
      </c>
      <c r="G5" s="6" t="s">
        <v>95</v>
      </c>
      <c r="H5" s="26"/>
    </row>
    <row r="6">
      <c r="A6" s="22">
        <v>4.0</v>
      </c>
      <c r="B6" s="31">
        <f t="shared" si="1"/>
        <v>46330</v>
      </c>
      <c r="C6" s="6" t="s">
        <v>14</v>
      </c>
      <c r="D6" s="6" t="s">
        <v>19</v>
      </c>
      <c r="E6" s="6" t="s">
        <v>62</v>
      </c>
      <c r="F6" s="6" t="s">
        <v>96</v>
      </c>
      <c r="G6" s="6" t="s">
        <v>95</v>
      </c>
      <c r="H6" s="26"/>
    </row>
    <row r="7">
      <c r="A7" s="22">
        <v>5.0</v>
      </c>
      <c r="B7" s="31">
        <f t="shared" si="1"/>
        <v>46337</v>
      </c>
      <c r="C7" s="6" t="s">
        <v>19</v>
      </c>
      <c r="D7" s="6" t="s">
        <v>14</v>
      </c>
      <c r="E7" s="6" t="s">
        <v>62</v>
      </c>
      <c r="F7" s="6" t="s">
        <v>96</v>
      </c>
      <c r="G7" s="6" t="s">
        <v>95</v>
      </c>
      <c r="H7" s="26"/>
    </row>
    <row r="8">
      <c r="A8" s="22">
        <v>6.0</v>
      </c>
      <c r="B8" s="31">
        <f t="shared" si="1"/>
        <v>46344</v>
      </c>
      <c r="C8" s="6" t="s">
        <v>14</v>
      </c>
      <c r="D8" s="6" t="s">
        <v>19</v>
      </c>
      <c r="E8" s="6" t="s">
        <v>62</v>
      </c>
      <c r="F8" s="6" t="s">
        <v>96</v>
      </c>
      <c r="G8" s="6" t="s">
        <v>95</v>
      </c>
      <c r="H8" s="26"/>
    </row>
    <row r="9">
      <c r="A9" s="22">
        <v>7.0</v>
      </c>
      <c r="B9" s="31">
        <f t="shared" si="1"/>
        <v>46351</v>
      </c>
      <c r="C9" s="6" t="s">
        <v>19</v>
      </c>
      <c r="D9" s="6" t="s">
        <v>14</v>
      </c>
      <c r="E9" s="6" t="s">
        <v>62</v>
      </c>
      <c r="F9" s="6" t="s">
        <v>96</v>
      </c>
      <c r="G9" s="6" t="s">
        <v>95</v>
      </c>
      <c r="H9" s="36" t="s">
        <v>101</v>
      </c>
    </row>
    <row r="10">
      <c r="A10" s="22">
        <v>8.0</v>
      </c>
      <c r="B10" s="31">
        <f t="shared" si="1"/>
        <v>46358</v>
      </c>
      <c r="C10" s="6" t="s">
        <v>14</v>
      </c>
      <c r="D10" s="6" t="s">
        <v>19</v>
      </c>
      <c r="E10" s="6" t="s">
        <v>62</v>
      </c>
      <c r="F10" s="6" t="s">
        <v>96</v>
      </c>
      <c r="G10" s="6" t="s">
        <v>95</v>
      </c>
      <c r="H10" s="26"/>
    </row>
    <row r="11">
      <c r="A11" s="22">
        <v>9.0</v>
      </c>
      <c r="B11" s="31">
        <f t="shared" si="1"/>
        <v>46365</v>
      </c>
      <c r="C11" s="6" t="s">
        <v>19</v>
      </c>
      <c r="D11" s="6" t="s">
        <v>14</v>
      </c>
      <c r="E11" s="6" t="s">
        <v>62</v>
      </c>
      <c r="F11" s="6" t="s">
        <v>96</v>
      </c>
      <c r="G11" s="6" t="s">
        <v>95</v>
      </c>
      <c r="H11" s="26"/>
    </row>
    <row r="12">
      <c r="A12" s="22">
        <v>10.0</v>
      </c>
      <c r="B12" s="24">
        <v>46372.0</v>
      </c>
      <c r="C12" s="6" t="s">
        <v>14</v>
      </c>
      <c r="D12" s="6" t="s">
        <v>19</v>
      </c>
      <c r="E12" s="6" t="s">
        <v>62</v>
      </c>
      <c r="F12" s="6" t="s">
        <v>96</v>
      </c>
      <c r="G12" s="6" t="s">
        <v>95</v>
      </c>
      <c r="H12" s="26"/>
    </row>
    <row r="13">
      <c r="A13" s="22">
        <v>11.0</v>
      </c>
      <c r="B13" s="24">
        <v>46400.0</v>
      </c>
      <c r="C13" s="6" t="s">
        <v>19</v>
      </c>
      <c r="D13" s="6" t="s">
        <v>14</v>
      </c>
      <c r="E13" s="6" t="s">
        <v>62</v>
      </c>
      <c r="F13" s="6" t="s">
        <v>96</v>
      </c>
      <c r="G13" s="6" t="s">
        <v>95</v>
      </c>
      <c r="H13" s="26"/>
    </row>
    <row r="14">
      <c r="A14" s="22">
        <v>12.0</v>
      </c>
      <c r="B14" s="31">
        <f t="shared" ref="B14:B17" si="2">B13+7</f>
        <v>46407</v>
      </c>
      <c r="C14" s="6" t="s">
        <v>14</v>
      </c>
      <c r="D14" s="6" t="s">
        <v>19</v>
      </c>
      <c r="E14" s="6" t="s">
        <v>62</v>
      </c>
      <c r="F14" s="6" t="s">
        <v>96</v>
      </c>
      <c r="G14" s="6" t="s">
        <v>95</v>
      </c>
      <c r="H14" s="26"/>
    </row>
    <row r="15">
      <c r="A15" s="22">
        <v>13.0</v>
      </c>
      <c r="B15" s="31">
        <f t="shared" si="2"/>
        <v>46414</v>
      </c>
      <c r="C15" s="6" t="s">
        <v>19</v>
      </c>
      <c r="D15" s="6" t="s">
        <v>14</v>
      </c>
      <c r="E15" s="6" t="s">
        <v>62</v>
      </c>
      <c r="F15" s="6" t="s">
        <v>96</v>
      </c>
      <c r="G15" s="6" t="s">
        <v>95</v>
      </c>
      <c r="H15" s="26"/>
    </row>
    <row r="16">
      <c r="A16" s="22">
        <v>14.0</v>
      </c>
      <c r="B16" s="31">
        <f t="shared" si="2"/>
        <v>46421</v>
      </c>
      <c r="C16" s="6" t="s">
        <v>14</v>
      </c>
      <c r="D16" s="6" t="s">
        <v>19</v>
      </c>
      <c r="E16" s="6" t="s">
        <v>62</v>
      </c>
      <c r="F16" s="6" t="s">
        <v>96</v>
      </c>
      <c r="G16" s="6" t="s">
        <v>95</v>
      </c>
      <c r="H16" s="36" t="s">
        <v>105</v>
      </c>
    </row>
    <row r="17">
      <c r="A17" s="22">
        <v>15.0</v>
      </c>
      <c r="B17" s="31">
        <f t="shared" si="2"/>
        <v>46428</v>
      </c>
      <c r="C17" s="6" t="s">
        <v>19</v>
      </c>
      <c r="D17" s="6" t="s">
        <v>14</v>
      </c>
      <c r="E17" s="6" t="s">
        <v>62</v>
      </c>
      <c r="F17" s="6" t="s">
        <v>96</v>
      </c>
      <c r="G17" s="6" t="s">
        <v>95</v>
      </c>
      <c r="H17" s="36" t="s">
        <v>106</v>
      </c>
    </row>
    <row r="18">
      <c r="A18" s="22"/>
      <c r="B18" s="39"/>
      <c r="C18" s="17"/>
      <c r="D18" s="17"/>
      <c r="E18" s="17"/>
      <c r="F18" s="17"/>
      <c r="G18" s="17"/>
      <c r="H18" s="40"/>
    </row>
    <row r="19">
      <c r="A19" s="36" t="s">
        <v>110</v>
      </c>
      <c r="B19" s="41"/>
      <c r="C19" s="42"/>
      <c r="D19" s="42"/>
      <c r="E19" s="42"/>
      <c r="F19" s="42"/>
      <c r="G19" s="42"/>
      <c r="H19" s="40"/>
    </row>
    <row r="20">
      <c r="A20" s="42"/>
      <c r="B20" s="39"/>
      <c r="C20" s="17"/>
      <c r="D20" s="17"/>
      <c r="E20" s="17"/>
      <c r="F20" s="17"/>
      <c r="G20" s="17"/>
      <c r="H20" s="40"/>
    </row>
    <row r="21">
      <c r="A21" s="22"/>
      <c r="B21" s="39"/>
      <c r="C21" s="17"/>
      <c r="D21" s="17"/>
      <c r="E21" s="17"/>
      <c r="F21" s="17"/>
      <c r="G21" s="17"/>
      <c r="H21" s="40"/>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4" t="s">
        <v>2</v>
      </c>
      <c r="B1" s="7" t="s">
        <v>9</v>
      </c>
    </row>
    <row r="2">
      <c r="A2" s="10"/>
      <c r="B2" s="13" t="s">
        <v>22</v>
      </c>
    </row>
    <row r="3">
      <c r="A3" s="14"/>
      <c r="B3" s="16" t="s">
        <v>41</v>
      </c>
    </row>
    <row r="4">
      <c r="A4" s="14"/>
      <c r="B4" s="16" t="s">
        <v>48</v>
      </c>
    </row>
    <row r="5">
      <c r="A5" s="10"/>
      <c r="B5" s="19" t="s">
        <v>51</v>
      </c>
    </row>
    <row r="6">
      <c r="A6" s="10"/>
      <c r="B6" s="19" t="s">
        <v>54</v>
      </c>
    </row>
    <row r="7">
      <c r="A7" s="10"/>
    </row>
    <row r="8">
      <c r="A8" s="21" t="s">
        <v>56</v>
      </c>
      <c r="B8" s="23" t="s">
        <v>57</v>
      </c>
    </row>
    <row r="9">
      <c r="A9" s="10"/>
      <c r="B9" s="25"/>
    </row>
    <row r="10">
      <c r="A10" s="21" t="s">
        <v>58</v>
      </c>
      <c r="B10" s="19" t="s">
        <v>60</v>
      </c>
    </row>
    <row r="11">
      <c r="A11" s="10"/>
      <c r="B11" s="19" t="s">
        <v>61</v>
      </c>
    </row>
    <row r="12">
      <c r="A12" s="21" t="s">
        <v>63</v>
      </c>
      <c r="B12" s="23" t="s">
        <v>65</v>
      </c>
    </row>
    <row r="13">
      <c r="A13" s="10"/>
      <c r="B13" s="25"/>
    </row>
    <row r="14">
      <c r="A14" s="21" t="s">
        <v>67</v>
      </c>
      <c r="B14" s="19" t="s">
        <v>68</v>
      </c>
    </row>
    <row r="15">
      <c r="A15" s="10"/>
    </row>
    <row r="16">
      <c r="A16" s="21" t="s">
        <v>69</v>
      </c>
      <c r="B16" s="9" t="s">
        <v>70</v>
      </c>
    </row>
    <row r="17">
      <c r="A17" s="25"/>
      <c r="B17" s="25"/>
    </row>
    <row r="18">
      <c r="A18" s="21" t="s">
        <v>71</v>
      </c>
      <c r="B18" s="23" t="s">
        <v>72</v>
      </c>
    </row>
    <row r="19">
      <c r="A19" s="25"/>
      <c r="B19" s="25"/>
    </row>
    <row r="20">
      <c r="A20" s="27" t="s">
        <v>73</v>
      </c>
      <c r="B20" s="29"/>
    </row>
    <row r="21">
      <c r="A21" s="25"/>
      <c r="B21" s="25"/>
    </row>
    <row r="22">
      <c r="A22" s="27" t="s">
        <v>75</v>
      </c>
      <c r="B22" s="23" t="s">
        <v>77</v>
      </c>
    </row>
    <row r="23">
      <c r="A23" s="25"/>
      <c r="B23" s="25"/>
    </row>
    <row r="24">
      <c r="A24" s="21" t="s">
        <v>78</v>
      </c>
      <c r="B24" s="27"/>
    </row>
    <row r="26">
      <c r="A26" s="30" t="s">
        <v>53</v>
      </c>
      <c r="B26" s="9" t="s">
        <v>79</v>
      </c>
    </row>
    <row r="27">
      <c r="A27" s="30" t="s">
        <v>80</v>
      </c>
      <c r="B27" s="9" t="s">
        <v>81</v>
      </c>
    </row>
    <row r="28">
      <c r="A28" s="30" t="s">
        <v>80</v>
      </c>
      <c r="B28" s="9" t="s">
        <v>82</v>
      </c>
    </row>
    <row r="29">
      <c r="A29" s="30" t="s">
        <v>83</v>
      </c>
      <c r="B29" s="9" t="s">
        <v>84</v>
      </c>
    </row>
    <row r="30">
      <c r="A30" s="30" t="s">
        <v>83</v>
      </c>
      <c r="B30" s="9" t="s">
        <v>86</v>
      </c>
    </row>
    <row r="31">
      <c r="A31" s="30" t="s">
        <v>83</v>
      </c>
      <c r="B31" s="9" t="s">
        <v>87</v>
      </c>
    </row>
    <row r="32">
      <c r="A32" s="30" t="s">
        <v>83</v>
      </c>
      <c r="B32" s="9" t="s">
        <v>89</v>
      </c>
    </row>
    <row r="33">
      <c r="A33" s="30" t="s">
        <v>83</v>
      </c>
      <c r="B33" s="9" t="s">
        <v>91</v>
      </c>
    </row>
    <row r="34">
      <c r="A34" s="30" t="s">
        <v>83</v>
      </c>
      <c r="B34" s="9" t="s">
        <v>92</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3" t="s">
        <v>97</v>
      </c>
      <c r="B1" s="33" t="s">
        <v>100</v>
      </c>
    </row>
    <row r="2">
      <c r="A2" s="34"/>
      <c r="B2" s="35"/>
    </row>
    <row r="3">
      <c r="A3" s="37" t="s">
        <v>102</v>
      </c>
      <c r="B3" s="37" t="s">
        <v>104</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7" t="s">
        <v>119</v>
      </c>
      <c r="B1" s="47" t="s">
        <v>121</v>
      </c>
    </row>
    <row r="2">
      <c r="A2" s="8"/>
      <c r="B2" s="8"/>
    </row>
    <row r="3">
      <c r="A3" s="8"/>
      <c r="B3" s="8"/>
    </row>
    <row r="4">
      <c r="A4" s="8"/>
      <c r="B4" s="8"/>
    </row>
    <row r="5">
      <c r="A5" s="8"/>
      <c r="B5" s="8"/>
    </row>
    <row r="6">
      <c r="A6" s="8"/>
      <c r="B6" s="8"/>
    </row>
    <row r="7">
      <c r="A7" s="8"/>
      <c r="B7" s="8"/>
    </row>
    <row r="8">
      <c r="A8" s="8"/>
      <c r="B8" s="8"/>
    </row>
    <row r="9">
      <c r="A9" s="8"/>
      <c r="B9" s="8"/>
    </row>
    <row r="10">
      <c r="A10" s="8"/>
      <c r="B10" s="8"/>
    </row>
    <row r="11">
      <c r="A11" s="8"/>
      <c r="B11" s="8"/>
    </row>
    <row r="12">
      <c r="A12" s="8"/>
      <c r="B12" s="8"/>
    </row>
    <row r="13">
      <c r="A13" s="8"/>
      <c r="B13" s="8"/>
    </row>
    <row r="14">
      <c r="A14" s="8"/>
      <c r="B14" s="8"/>
    </row>
    <row r="15">
      <c r="A15" s="8"/>
      <c r="B15" s="8"/>
    </row>
    <row r="16">
      <c r="A16" s="8"/>
      <c r="B16" s="8"/>
    </row>
    <row r="17">
      <c r="A17" s="8"/>
      <c r="B17" s="8"/>
    </row>
    <row r="18">
      <c r="A18" s="8"/>
      <c r="B18" s="8"/>
    </row>
    <row r="19">
      <c r="A19" s="8"/>
      <c r="B19" s="8"/>
    </row>
    <row r="20">
      <c r="A20" s="8"/>
      <c r="B20" s="8"/>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3" t="s">
        <v>113</v>
      </c>
      <c r="B1" s="11" t="s">
        <v>114</v>
      </c>
    </row>
    <row r="2">
      <c r="A2" s="45">
        <v>1.0</v>
      </c>
      <c r="B2" s="5" t="s">
        <v>116</v>
      </c>
    </row>
    <row r="3">
      <c r="A3" s="45">
        <f t="shared" ref="A3:A16" si="1">A2+1</f>
        <v>2</v>
      </c>
      <c r="B3" s="5" t="s">
        <v>96</v>
      </c>
    </row>
    <row r="4">
      <c r="A4" s="45">
        <f t="shared" si="1"/>
        <v>3</v>
      </c>
      <c r="B4" s="5" t="s">
        <v>96</v>
      </c>
    </row>
    <row r="5">
      <c r="A5" s="45">
        <f t="shared" si="1"/>
        <v>4</v>
      </c>
      <c r="B5" s="5" t="s">
        <v>96</v>
      </c>
    </row>
    <row r="6">
      <c r="A6" s="45">
        <f t="shared" si="1"/>
        <v>5</v>
      </c>
      <c r="B6" s="5" t="s">
        <v>96</v>
      </c>
    </row>
    <row r="7">
      <c r="A7" s="45">
        <f t="shared" si="1"/>
        <v>6</v>
      </c>
      <c r="B7" s="8"/>
    </row>
    <row r="8">
      <c r="A8" s="45">
        <f t="shared" si="1"/>
        <v>7</v>
      </c>
      <c r="B8" s="8"/>
    </row>
    <row r="9">
      <c r="A9" s="45">
        <f t="shared" si="1"/>
        <v>8</v>
      </c>
      <c r="B9" s="8"/>
    </row>
    <row r="10">
      <c r="A10" s="45">
        <f t="shared" si="1"/>
        <v>9</v>
      </c>
      <c r="B10" s="8"/>
    </row>
    <row r="11">
      <c r="A11" s="45">
        <f t="shared" si="1"/>
        <v>10</v>
      </c>
      <c r="B11" s="8"/>
    </row>
    <row r="12">
      <c r="A12" s="45">
        <f t="shared" si="1"/>
        <v>11</v>
      </c>
      <c r="B12" s="8"/>
    </row>
    <row r="13">
      <c r="A13" s="45">
        <f t="shared" si="1"/>
        <v>12</v>
      </c>
      <c r="B13" s="8"/>
    </row>
    <row r="14">
      <c r="A14" s="45">
        <f t="shared" si="1"/>
        <v>13</v>
      </c>
      <c r="B14" s="8"/>
    </row>
    <row r="15">
      <c r="A15" s="45">
        <f t="shared" si="1"/>
        <v>14</v>
      </c>
      <c r="B15" s="8"/>
    </row>
    <row r="16">
      <c r="A16" s="45">
        <f t="shared" si="1"/>
        <v>15</v>
      </c>
      <c r="B16" s="8"/>
    </row>
    <row r="17">
      <c r="A17" s="45"/>
      <c r="B17" s="8"/>
    </row>
    <row r="18">
      <c r="A18" s="45"/>
      <c r="B18" s="8"/>
    </row>
    <row r="19">
      <c r="A19" s="46"/>
      <c r="B19" s="8"/>
    </row>
    <row r="20">
      <c r="A20" s="46"/>
      <c r="B20" s="8"/>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3" t="s">
        <v>113</v>
      </c>
      <c r="B1" s="11" t="s">
        <v>120</v>
      </c>
    </row>
    <row r="2">
      <c r="A2" s="45">
        <v>1.0</v>
      </c>
      <c r="B2" s="5"/>
    </row>
    <row r="3">
      <c r="A3" s="45">
        <f t="shared" ref="A3:A16" si="1">A2+1</f>
        <v>2</v>
      </c>
      <c r="B3" s="5"/>
    </row>
    <row r="4">
      <c r="A4" s="45">
        <f t="shared" si="1"/>
        <v>3</v>
      </c>
      <c r="B4" s="5"/>
    </row>
    <row r="5">
      <c r="A5" s="45">
        <f t="shared" si="1"/>
        <v>4</v>
      </c>
    </row>
    <row r="6">
      <c r="A6" s="45">
        <f t="shared" si="1"/>
        <v>5</v>
      </c>
      <c r="B6" s="5"/>
    </row>
    <row r="7">
      <c r="A7" s="45">
        <f t="shared" si="1"/>
        <v>6</v>
      </c>
      <c r="B7" s="8"/>
    </row>
    <row r="8">
      <c r="A8" s="45">
        <f t="shared" si="1"/>
        <v>7</v>
      </c>
      <c r="B8" s="8"/>
    </row>
    <row r="9">
      <c r="A9" s="45">
        <f t="shared" si="1"/>
        <v>8</v>
      </c>
      <c r="B9" s="8"/>
    </row>
    <row r="10">
      <c r="A10" s="45">
        <f t="shared" si="1"/>
        <v>9</v>
      </c>
      <c r="B10" s="8"/>
    </row>
    <row r="11">
      <c r="A11" s="45">
        <f t="shared" si="1"/>
        <v>10</v>
      </c>
      <c r="B11" s="8"/>
    </row>
    <row r="12">
      <c r="A12" s="45">
        <f t="shared" si="1"/>
        <v>11</v>
      </c>
      <c r="B12" s="8"/>
    </row>
    <row r="13">
      <c r="A13" s="45">
        <f t="shared" si="1"/>
        <v>12</v>
      </c>
      <c r="B13" s="8"/>
    </row>
    <row r="14">
      <c r="A14" s="45">
        <f t="shared" si="1"/>
        <v>13</v>
      </c>
      <c r="B14" s="8"/>
    </row>
    <row r="15">
      <c r="A15" s="45">
        <f t="shared" si="1"/>
        <v>14</v>
      </c>
      <c r="B15" s="8"/>
    </row>
    <row r="16">
      <c r="A16" s="45">
        <f t="shared" si="1"/>
        <v>15</v>
      </c>
      <c r="B16" s="8"/>
    </row>
    <row r="17">
      <c r="A17" s="45"/>
      <c r="B17" s="8"/>
    </row>
    <row r="18">
      <c r="A18" s="45"/>
      <c r="B18" s="48" t="s">
        <v>122</v>
      </c>
    </row>
    <row r="19">
      <c r="A19" s="46"/>
      <c r="B19" s="8"/>
    </row>
    <row r="20">
      <c r="A20" s="46"/>
      <c r="B20" s="8"/>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9" t="s">
        <v>123</v>
      </c>
      <c r="B1" s="50" t="s">
        <v>124</v>
      </c>
      <c r="C1" s="51" t="s">
        <v>125</v>
      </c>
      <c r="D1" s="52" t="s">
        <v>126</v>
      </c>
      <c r="E1" s="52" t="s">
        <v>127</v>
      </c>
      <c r="F1" s="52" t="s">
        <v>128</v>
      </c>
      <c r="G1" s="52" t="s">
        <v>129</v>
      </c>
    </row>
    <row r="2">
      <c r="A2" s="53"/>
      <c r="B2" s="54"/>
      <c r="C2" s="29"/>
      <c r="D2" s="29"/>
      <c r="E2" s="29"/>
      <c r="F2" s="29"/>
      <c r="G2" s="29"/>
    </row>
    <row r="3">
      <c r="A3" s="55" t="s">
        <v>130</v>
      </c>
      <c r="B3" s="56"/>
      <c r="C3" s="57"/>
      <c r="D3" s="57"/>
      <c r="E3" s="57"/>
      <c r="F3" s="57"/>
      <c r="G3" s="57"/>
    </row>
    <row r="4">
      <c r="A4" s="53"/>
      <c r="B4" s="54"/>
      <c r="C4" s="29"/>
      <c r="D4" s="29"/>
      <c r="E4" s="29"/>
      <c r="F4" s="29"/>
      <c r="G4" s="29"/>
    </row>
    <row r="5">
      <c r="A5" s="58" t="s">
        <v>131</v>
      </c>
      <c r="B5" s="59"/>
      <c r="C5" s="25"/>
      <c r="D5" s="60">
        <f>sum(D8:D13)</f>
        <v>0</v>
      </c>
      <c r="E5" s="60">
        <f>D5</f>
        <v>0</v>
      </c>
      <c r="F5" s="25"/>
      <c r="G5" s="25"/>
    </row>
    <row r="6">
      <c r="A6" s="53"/>
      <c r="B6" s="54"/>
      <c r="C6" s="29"/>
      <c r="D6" s="29"/>
      <c r="E6" s="29"/>
      <c r="F6" s="29"/>
      <c r="G6" s="29"/>
    </row>
    <row r="7">
      <c r="A7" s="61" t="s">
        <v>132</v>
      </c>
      <c r="B7" s="62"/>
      <c r="C7" s="63"/>
      <c r="D7" s="63"/>
      <c r="E7" s="63"/>
      <c r="F7" s="63"/>
      <c r="G7" s="63"/>
    </row>
    <row r="8">
      <c r="A8" s="53"/>
      <c r="B8" s="54"/>
      <c r="C8" s="29"/>
      <c r="D8" s="29"/>
      <c r="E8" s="64" t="s">
        <v>133</v>
      </c>
      <c r="F8" s="29"/>
      <c r="G8" s="64" t="s">
        <v>134</v>
      </c>
    </row>
    <row r="9">
      <c r="A9" s="65">
        <v>1.0</v>
      </c>
      <c r="B9" s="58"/>
      <c r="C9" s="25"/>
      <c r="D9" s="60">
        <f>sum(D16:D21)</f>
        <v>0</v>
      </c>
      <c r="E9" s="60">
        <f>$D$5</f>
        <v>0</v>
      </c>
      <c r="F9" s="60">
        <f>sum(F16:F21)</f>
        <v>0</v>
      </c>
      <c r="G9" s="60">
        <f>$D$5</f>
        <v>0</v>
      </c>
    </row>
    <row r="10">
      <c r="A10" s="53">
        <f t="shared" ref="A10:A11" si="1">A9+1</f>
        <v>2</v>
      </c>
      <c r="B10" s="54"/>
      <c r="C10" s="29"/>
      <c r="D10" s="68">
        <f>sum(D22:D27)</f>
        <v>0</v>
      </c>
      <c r="E10" s="68">
        <f t="shared" ref="E10:E12" si="2">E9-D9</f>
        <v>0</v>
      </c>
      <c r="F10" s="68">
        <f>sum(F22:F27)</f>
        <v>0</v>
      </c>
      <c r="G10" s="68">
        <f t="shared" ref="G10:G12" si="3">G9-F9</f>
        <v>0</v>
      </c>
    </row>
    <row r="11">
      <c r="A11" s="65">
        <f t="shared" si="1"/>
        <v>3</v>
      </c>
      <c r="B11" s="58"/>
      <c r="C11" s="25"/>
      <c r="D11" s="60">
        <f>sum(D28:D33)</f>
        <v>0</v>
      </c>
      <c r="E11" s="60">
        <f t="shared" si="2"/>
        <v>0</v>
      </c>
      <c r="F11" s="60">
        <f>sum(F28:F33)</f>
        <v>0</v>
      </c>
      <c r="G11" s="60">
        <f t="shared" si="3"/>
        <v>0</v>
      </c>
    </row>
    <row r="12">
      <c r="A12" s="70" t="s">
        <v>76</v>
      </c>
      <c r="B12" s="71"/>
      <c r="C12" s="29"/>
      <c r="D12" s="29"/>
      <c r="E12" s="68">
        <f t="shared" si="2"/>
        <v>0</v>
      </c>
      <c r="F12" s="29"/>
      <c r="G12" s="68">
        <f t="shared" si="3"/>
        <v>0</v>
      </c>
    </row>
    <row r="13">
      <c r="A13" s="65"/>
      <c r="B13" s="58"/>
      <c r="C13" s="25"/>
      <c r="D13" s="25"/>
      <c r="E13" s="25"/>
      <c r="F13" s="25"/>
      <c r="G13" s="25"/>
    </row>
    <row r="14">
      <c r="A14" s="72" t="s">
        <v>140</v>
      </c>
      <c r="B14" s="73"/>
      <c r="C14" s="74"/>
      <c r="D14" s="74"/>
      <c r="E14" s="74"/>
      <c r="F14" s="74"/>
      <c r="G14" s="74"/>
    </row>
    <row r="15">
      <c r="A15" s="65"/>
      <c r="B15" s="58"/>
      <c r="C15" s="25"/>
      <c r="D15" s="25"/>
      <c r="E15" s="25"/>
      <c r="F15" s="25"/>
      <c r="G15" s="25"/>
    </row>
    <row r="16">
      <c r="A16" s="75">
        <f t="shared" ref="A16:B16" si="4">A9</f>
        <v>1</v>
      </c>
      <c r="B16" s="76" t="str">
        <f t="shared" si="4"/>
        <v/>
      </c>
      <c r="C16" s="29"/>
      <c r="D16" s="29"/>
      <c r="E16" s="29"/>
      <c r="F16" s="29"/>
      <c r="G16" s="29"/>
    </row>
    <row r="17">
      <c r="A17" s="65"/>
      <c r="B17" s="77"/>
      <c r="C17" s="25"/>
      <c r="D17" s="25"/>
      <c r="E17" s="25"/>
      <c r="F17" s="25"/>
      <c r="G17" s="25"/>
    </row>
    <row r="18">
      <c r="A18" s="53"/>
      <c r="B18" s="54"/>
      <c r="C18" s="71"/>
      <c r="D18" s="78"/>
      <c r="E18" s="54"/>
      <c r="F18" s="78"/>
      <c r="G18" s="54"/>
    </row>
    <row r="19">
      <c r="A19" s="65"/>
      <c r="B19" s="77"/>
      <c r="C19" s="25"/>
      <c r="D19" s="60"/>
      <c r="E19" s="25"/>
      <c r="F19" s="60"/>
      <c r="G19" s="25"/>
    </row>
    <row r="20">
      <c r="A20" s="79"/>
      <c r="B20" s="71"/>
      <c r="C20" s="71"/>
      <c r="D20" s="68"/>
      <c r="E20" s="71"/>
      <c r="F20" s="68"/>
      <c r="G20" s="71"/>
    </row>
    <row r="21">
      <c r="A21" s="65"/>
      <c r="B21" s="77"/>
      <c r="C21" s="25"/>
      <c r="D21" s="60"/>
      <c r="E21" s="25"/>
      <c r="F21" s="60"/>
      <c r="G21" s="25"/>
    </row>
    <row r="22">
      <c r="A22" s="75">
        <f t="shared" ref="A22:B22" si="5">A10</f>
        <v>2</v>
      </c>
      <c r="B22" s="76" t="str">
        <f t="shared" si="5"/>
        <v/>
      </c>
      <c r="C22" s="29"/>
      <c r="D22" s="29"/>
      <c r="E22" s="29"/>
      <c r="F22" s="29"/>
      <c r="G22" s="29"/>
    </row>
    <row r="23">
      <c r="A23" s="65"/>
      <c r="B23" s="77"/>
      <c r="C23" s="25"/>
      <c r="D23" s="25"/>
      <c r="E23" s="25"/>
      <c r="F23" s="25"/>
      <c r="G23" s="25"/>
    </row>
    <row r="24">
      <c r="A24" s="79"/>
      <c r="B24" s="71"/>
      <c r="C24" s="71"/>
      <c r="D24" s="68"/>
      <c r="E24" s="71"/>
      <c r="F24" s="68"/>
      <c r="G24" s="71"/>
    </row>
    <row r="25">
      <c r="A25" s="65"/>
      <c r="B25" s="77"/>
      <c r="C25" s="25"/>
      <c r="D25" s="60"/>
      <c r="E25" s="25"/>
      <c r="F25" s="60"/>
      <c r="G25" s="25"/>
    </row>
    <row r="26">
      <c r="A26" s="79"/>
      <c r="B26" s="71"/>
      <c r="C26" s="71"/>
      <c r="D26" s="68"/>
      <c r="E26" s="71"/>
      <c r="F26" s="68"/>
      <c r="G26" s="71"/>
    </row>
    <row r="27">
      <c r="A27" s="65"/>
      <c r="B27" s="77"/>
      <c r="C27" s="25"/>
      <c r="D27" s="60"/>
      <c r="E27" s="25"/>
      <c r="F27" s="60"/>
      <c r="G27" s="25"/>
    </row>
    <row r="28">
      <c r="A28" s="75">
        <f t="shared" ref="A28:B28" si="6">A11</f>
        <v>3</v>
      </c>
      <c r="B28" s="76" t="str">
        <f t="shared" si="6"/>
        <v/>
      </c>
      <c r="C28" s="29"/>
      <c r="D28" s="29"/>
      <c r="E28" s="29"/>
      <c r="F28" s="29"/>
      <c r="G28" s="29"/>
    </row>
    <row r="29">
      <c r="A29" s="65"/>
      <c r="B29" s="77"/>
      <c r="C29" s="25"/>
      <c r="D29" s="25"/>
      <c r="E29" s="25"/>
      <c r="F29" s="25"/>
      <c r="G29" s="25"/>
    </row>
    <row r="30">
      <c r="A30" s="79"/>
      <c r="B30" s="71"/>
      <c r="C30" s="71"/>
      <c r="D30" s="68"/>
      <c r="E30" s="71"/>
      <c r="F30" s="71"/>
      <c r="G30" s="71"/>
    </row>
    <row r="31">
      <c r="A31" s="65"/>
      <c r="B31" s="77"/>
      <c r="C31" s="25"/>
      <c r="D31" s="60"/>
      <c r="E31" s="25"/>
      <c r="F31" s="25"/>
      <c r="G31" s="25"/>
    </row>
    <row r="32">
      <c r="A32" s="79"/>
      <c r="B32" s="71"/>
      <c r="C32" s="29"/>
      <c r="D32" s="68"/>
      <c r="E32" s="71"/>
      <c r="F32" s="71"/>
      <c r="G32" s="71"/>
    </row>
    <row r="33">
      <c r="A33" s="65"/>
      <c r="B33" s="77"/>
      <c r="C33" s="82" t="s">
        <v>145</v>
      </c>
      <c r="D33" s="60"/>
      <c r="E33" s="25"/>
      <c r="F33" s="25"/>
      <c r="G33" s="25"/>
    </row>
    <row r="34">
      <c r="A34" s="79"/>
      <c r="B34" s="71"/>
      <c r="C34" s="29"/>
      <c r="D34" s="29"/>
      <c r="E34" s="29"/>
      <c r="F34" s="29"/>
      <c r="G34" s="29"/>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9" t="s">
        <v>123</v>
      </c>
      <c r="B1" s="69" t="s">
        <v>124</v>
      </c>
      <c r="C1" s="51" t="s">
        <v>125</v>
      </c>
      <c r="D1" s="52" t="s">
        <v>126</v>
      </c>
      <c r="E1" s="52" t="s">
        <v>127</v>
      </c>
      <c r="F1" s="52" t="s">
        <v>128</v>
      </c>
      <c r="G1" s="52" t="s">
        <v>129</v>
      </c>
    </row>
    <row r="2">
      <c r="A2" s="53"/>
      <c r="B2" s="29"/>
      <c r="C2" s="29"/>
      <c r="D2" s="29"/>
      <c r="E2" s="29"/>
      <c r="F2" s="29"/>
      <c r="G2" s="29"/>
    </row>
    <row r="3">
      <c r="A3" s="55" t="s">
        <v>130</v>
      </c>
      <c r="B3" s="57"/>
      <c r="C3" s="57"/>
      <c r="D3" s="57"/>
      <c r="E3" s="57"/>
      <c r="F3" s="57"/>
      <c r="G3" s="57"/>
    </row>
    <row r="4">
      <c r="A4" s="53"/>
      <c r="B4" s="29"/>
      <c r="C4" s="29"/>
      <c r="D4" s="29"/>
      <c r="E4" s="29"/>
      <c r="F4" s="29"/>
      <c r="G4" s="29"/>
    </row>
    <row r="5">
      <c r="A5" s="58" t="s">
        <v>131</v>
      </c>
      <c r="B5" s="25"/>
      <c r="C5" s="25"/>
      <c r="D5" s="60">
        <f>sum(D8:D13)</f>
        <v>0</v>
      </c>
      <c r="E5" s="60">
        <f>D5</f>
        <v>0</v>
      </c>
      <c r="F5" s="25"/>
      <c r="G5" s="25"/>
    </row>
    <row r="6">
      <c r="A6" s="53"/>
      <c r="B6" s="29"/>
      <c r="C6" s="29"/>
      <c r="D6" s="29"/>
      <c r="E6" s="29"/>
      <c r="F6" s="29"/>
      <c r="G6" s="29"/>
    </row>
    <row r="7">
      <c r="A7" s="61" t="s">
        <v>132</v>
      </c>
      <c r="B7" s="80"/>
      <c r="C7" s="63"/>
      <c r="D7" s="63"/>
      <c r="E7" s="63"/>
      <c r="F7" s="63"/>
      <c r="G7" s="63"/>
    </row>
    <row r="8">
      <c r="A8" s="53"/>
      <c r="B8" s="29"/>
      <c r="C8" s="29"/>
      <c r="D8" s="29"/>
      <c r="E8" s="64" t="s">
        <v>133</v>
      </c>
      <c r="F8" s="29"/>
      <c r="G8" s="64" t="s">
        <v>134</v>
      </c>
    </row>
    <row r="9">
      <c r="A9" s="65">
        <v>1.0</v>
      </c>
      <c r="B9" s="25"/>
      <c r="C9" s="25"/>
      <c r="D9" s="60">
        <f>sum(D16:D21)</f>
        <v>0</v>
      </c>
      <c r="E9" s="60">
        <f>$D$5</f>
        <v>0</v>
      </c>
      <c r="F9" s="60">
        <f>sum(F16:F21)</f>
        <v>0</v>
      </c>
      <c r="G9" s="60">
        <f>$D$5</f>
        <v>0</v>
      </c>
    </row>
    <row r="10">
      <c r="A10" s="53">
        <f t="shared" ref="A10:A11" si="1">A9+1</f>
        <v>2</v>
      </c>
      <c r="B10" s="29"/>
      <c r="C10" s="29"/>
      <c r="D10" s="68">
        <f>sum(D22:D27)</f>
        <v>0</v>
      </c>
      <c r="E10" s="68">
        <f t="shared" ref="E10:E12" si="2">E9-D9</f>
        <v>0</v>
      </c>
      <c r="F10" s="68">
        <f>sum(F22:F27)</f>
        <v>0</v>
      </c>
      <c r="G10" s="68">
        <f t="shared" ref="G10:G12" si="3">G9-F9</f>
        <v>0</v>
      </c>
    </row>
    <row r="11">
      <c r="A11" s="65">
        <f t="shared" si="1"/>
        <v>3</v>
      </c>
      <c r="B11" s="25"/>
      <c r="C11" s="25"/>
      <c r="D11" s="60">
        <f>sum(D28:D33)</f>
        <v>0</v>
      </c>
      <c r="E11" s="60">
        <f t="shared" si="2"/>
        <v>0</v>
      </c>
      <c r="F11" s="60">
        <f>sum(F28:F33)</f>
        <v>0</v>
      </c>
      <c r="G11" s="60">
        <f t="shared" si="3"/>
        <v>0</v>
      </c>
    </row>
    <row r="12">
      <c r="A12" s="70" t="s">
        <v>76</v>
      </c>
      <c r="B12" s="29"/>
      <c r="C12" s="29"/>
      <c r="D12" s="29"/>
      <c r="E12" s="68">
        <f t="shared" si="2"/>
        <v>0</v>
      </c>
      <c r="F12" s="29"/>
      <c r="G12" s="68">
        <f t="shared" si="3"/>
        <v>0</v>
      </c>
    </row>
    <row r="13">
      <c r="A13" s="65"/>
      <c r="B13" s="25"/>
      <c r="C13" s="25"/>
      <c r="D13" s="25"/>
      <c r="E13" s="25"/>
      <c r="F13" s="25"/>
      <c r="G13" s="25"/>
    </row>
    <row r="14">
      <c r="A14" s="72" t="s">
        <v>140</v>
      </c>
      <c r="B14" s="73"/>
      <c r="C14" s="74"/>
      <c r="D14" s="74"/>
      <c r="E14" s="74"/>
      <c r="F14" s="74"/>
      <c r="G14" s="74"/>
    </row>
    <row r="15">
      <c r="A15" s="65"/>
      <c r="B15" s="25"/>
      <c r="C15" s="25"/>
      <c r="D15" s="25"/>
      <c r="E15" s="25"/>
      <c r="F15" s="25"/>
      <c r="G15" s="25"/>
    </row>
    <row r="16">
      <c r="A16" s="75">
        <f>A9</f>
        <v>1</v>
      </c>
      <c r="B16" s="29"/>
      <c r="C16" s="29"/>
      <c r="D16" s="29"/>
      <c r="E16" s="29"/>
      <c r="F16" s="29"/>
      <c r="G16" s="29"/>
    </row>
    <row r="17">
      <c r="A17" s="65"/>
      <c r="B17" s="77"/>
      <c r="C17" s="25"/>
      <c r="D17" s="25"/>
      <c r="E17" s="25"/>
      <c r="F17" s="25"/>
      <c r="G17" s="25"/>
    </row>
    <row r="18">
      <c r="A18" s="53"/>
      <c r="B18" s="94"/>
      <c r="C18" s="71"/>
      <c r="D18" s="78"/>
      <c r="E18" s="54"/>
      <c r="F18" s="78"/>
      <c r="G18" s="54"/>
    </row>
    <row r="19">
      <c r="A19" s="65"/>
      <c r="B19" s="25"/>
      <c r="C19" s="25"/>
      <c r="D19" s="60"/>
      <c r="E19" s="25"/>
      <c r="F19" s="60"/>
      <c r="G19" s="25"/>
    </row>
    <row r="20">
      <c r="A20" s="79"/>
      <c r="B20" s="29"/>
      <c r="C20" s="71"/>
      <c r="D20" s="68"/>
      <c r="E20" s="71"/>
      <c r="F20" s="68"/>
      <c r="G20" s="71"/>
    </row>
    <row r="21">
      <c r="A21" s="65"/>
      <c r="B21" s="25"/>
      <c r="C21" s="25"/>
      <c r="D21" s="60"/>
      <c r="E21" s="25"/>
      <c r="F21" s="60"/>
      <c r="G21" s="25"/>
    </row>
    <row r="22">
      <c r="A22" s="75">
        <f>A10</f>
        <v>2</v>
      </c>
      <c r="B22" s="29"/>
      <c r="C22" s="29"/>
      <c r="D22" s="29"/>
      <c r="E22" s="29"/>
      <c r="F22" s="29"/>
      <c r="G22" s="29"/>
    </row>
    <row r="23">
      <c r="A23" s="65"/>
      <c r="B23" s="77"/>
      <c r="C23" s="25"/>
      <c r="D23" s="25"/>
      <c r="E23" s="25"/>
      <c r="F23" s="25"/>
      <c r="G23" s="25"/>
    </row>
    <row r="24">
      <c r="A24" s="79"/>
      <c r="B24" s="29"/>
      <c r="C24" s="71"/>
      <c r="D24" s="68"/>
      <c r="E24" s="71"/>
      <c r="F24" s="68"/>
      <c r="G24" s="71"/>
    </row>
    <row r="25">
      <c r="A25" s="65"/>
      <c r="B25" s="25"/>
      <c r="C25" s="25"/>
      <c r="D25" s="60"/>
      <c r="E25" s="25"/>
      <c r="F25" s="60"/>
      <c r="G25" s="25"/>
    </row>
    <row r="26">
      <c r="A26" s="79"/>
      <c r="B26" s="29"/>
      <c r="C26" s="71"/>
      <c r="D26" s="68"/>
      <c r="E26" s="71"/>
      <c r="F26" s="68"/>
      <c r="G26" s="71"/>
    </row>
    <row r="27">
      <c r="A27" s="65"/>
      <c r="B27" s="25"/>
      <c r="C27" s="25"/>
      <c r="D27" s="60"/>
      <c r="E27" s="25"/>
      <c r="F27" s="60"/>
      <c r="G27" s="25"/>
    </row>
    <row r="28">
      <c r="A28" s="75">
        <f>A11</f>
        <v>3</v>
      </c>
      <c r="B28" s="29"/>
      <c r="C28" s="29"/>
      <c r="D28" s="29"/>
      <c r="E28" s="29"/>
      <c r="F28" s="29"/>
      <c r="G28" s="29"/>
    </row>
    <row r="29">
      <c r="A29" s="65"/>
      <c r="B29" s="77"/>
      <c r="C29" s="25"/>
      <c r="D29" s="25"/>
      <c r="E29" s="25"/>
      <c r="F29" s="25"/>
      <c r="G29" s="25"/>
    </row>
    <row r="30">
      <c r="A30" s="79"/>
      <c r="B30" s="29"/>
      <c r="C30" s="71"/>
      <c r="D30" s="68"/>
      <c r="E30" s="71"/>
      <c r="F30" s="71"/>
      <c r="G30" s="71"/>
    </row>
    <row r="31">
      <c r="A31" s="65"/>
      <c r="B31" s="25"/>
      <c r="C31" s="25"/>
      <c r="D31" s="60"/>
      <c r="E31" s="25"/>
      <c r="F31" s="25"/>
      <c r="G31" s="25"/>
    </row>
    <row r="32">
      <c r="A32" s="79"/>
      <c r="B32" s="29"/>
      <c r="C32" s="29"/>
      <c r="D32" s="68"/>
      <c r="E32" s="71"/>
      <c r="F32" s="71"/>
      <c r="G32" s="71"/>
    </row>
    <row r="33">
      <c r="A33" s="65"/>
      <c r="B33" s="25"/>
      <c r="C33" s="82" t="s">
        <v>145</v>
      </c>
      <c r="D33" s="60"/>
      <c r="E33" s="25"/>
      <c r="F33" s="25"/>
      <c r="G33" s="25"/>
    </row>
    <row r="34">
      <c r="A34" s="79"/>
      <c r="B34" s="29"/>
      <c r="C34" s="29"/>
      <c r="D34" s="29"/>
      <c r="E34" s="29"/>
      <c r="F34" s="29"/>
      <c r="G34" s="29"/>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66" t="s">
        <v>38</v>
      </c>
      <c r="B1" s="50" t="s">
        <v>137</v>
      </c>
      <c r="C1" s="50" t="s">
        <v>138</v>
      </c>
      <c r="D1" s="67" t="s">
        <v>139</v>
      </c>
    </row>
    <row r="2">
      <c r="A2" s="8"/>
      <c r="B2" s="8"/>
      <c r="C2" s="8"/>
      <c r="D2" s="8"/>
    </row>
    <row r="3">
      <c r="A3" s="8"/>
      <c r="B3" s="8"/>
      <c r="C3" s="8"/>
      <c r="D3" s="8"/>
    </row>
    <row r="4">
      <c r="A4" s="8"/>
      <c r="B4" s="8"/>
      <c r="C4" s="8"/>
      <c r="D4" s="8"/>
    </row>
    <row r="5">
      <c r="A5" s="8"/>
      <c r="B5" s="8"/>
      <c r="C5" s="8"/>
      <c r="D5" s="8"/>
    </row>
    <row r="6">
      <c r="A6" s="8"/>
      <c r="B6" s="8"/>
      <c r="C6" s="8"/>
      <c r="D6" s="8"/>
    </row>
    <row r="7">
      <c r="A7" s="8"/>
      <c r="B7" s="8"/>
      <c r="C7" s="8"/>
      <c r="D7" s="8"/>
    </row>
    <row r="8">
      <c r="A8" s="8"/>
      <c r="B8" s="8"/>
      <c r="C8" s="8"/>
      <c r="D8" s="8"/>
    </row>
    <row r="9">
      <c r="A9" s="8"/>
      <c r="B9" s="8"/>
      <c r="C9" s="8"/>
      <c r="D9" s="8"/>
    </row>
    <row r="10">
      <c r="A10" s="8"/>
      <c r="B10" s="8"/>
      <c r="C10" s="8"/>
      <c r="D10" s="8"/>
    </row>
    <row r="11">
      <c r="A11" s="8"/>
      <c r="B11" s="8"/>
      <c r="C11" s="8"/>
      <c r="D11" s="8"/>
    </row>
    <row r="12">
      <c r="A12" s="8"/>
      <c r="B12" s="8"/>
      <c r="C12" s="8"/>
      <c r="D12" s="8"/>
    </row>
    <row r="13">
      <c r="A13" s="8"/>
      <c r="B13" s="8"/>
      <c r="C13" s="8"/>
      <c r="D13" s="8"/>
    </row>
    <row r="14">
      <c r="A14" s="8"/>
      <c r="B14" s="8"/>
      <c r="C14" s="8"/>
      <c r="D14" s="8"/>
    </row>
    <row r="15">
      <c r="A15" s="8"/>
      <c r="B15" s="8"/>
      <c r="C15" s="8"/>
      <c r="D15" s="8"/>
    </row>
    <row r="16">
      <c r="A16" s="8"/>
      <c r="B16" s="8"/>
      <c r="C16" s="8"/>
      <c r="D16" s="8"/>
    </row>
    <row r="17">
      <c r="A17" s="8"/>
      <c r="B17" s="8"/>
      <c r="C17" s="8"/>
      <c r="D17" s="8"/>
    </row>
    <row r="18">
      <c r="A18" s="8"/>
      <c r="B18" s="8"/>
      <c r="C18" s="8"/>
      <c r="D18" s="8"/>
    </row>
    <row r="19">
      <c r="A19" s="8"/>
      <c r="B19" s="8"/>
      <c r="C19" s="8"/>
      <c r="D19" s="8"/>
    </row>
    <row r="20">
      <c r="A20" s="8"/>
      <c r="B20" s="8"/>
      <c r="C20" s="8"/>
      <c r="D20" s="8"/>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1" t="s">
        <v>135</v>
      </c>
      <c r="B1" s="11" t="s">
        <v>136</v>
      </c>
    </row>
    <row r="2">
      <c r="A2" s="8"/>
      <c r="B2" s="8"/>
    </row>
    <row r="3">
      <c r="A3" s="8"/>
      <c r="B3" s="8"/>
    </row>
    <row r="4">
      <c r="A4" s="8"/>
      <c r="B4" s="8"/>
    </row>
    <row r="5">
      <c r="A5" s="8"/>
      <c r="B5" s="8"/>
    </row>
    <row r="6">
      <c r="A6" s="8"/>
      <c r="B6" s="8"/>
    </row>
    <row r="7">
      <c r="A7" s="8"/>
      <c r="B7" s="8"/>
    </row>
    <row r="8">
      <c r="A8" s="8"/>
      <c r="B8" s="8"/>
    </row>
    <row r="9">
      <c r="A9" s="8"/>
      <c r="B9" s="8"/>
    </row>
    <row r="10">
      <c r="A10" s="8"/>
      <c r="B10" s="8"/>
    </row>
    <row r="11">
      <c r="A11" s="8"/>
      <c r="B11" s="8"/>
    </row>
    <row r="12">
      <c r="A12" s="8"/>
      <c r="B12" s="8"/>
    </row>
    <row r="13">
      <c r="A13" s="8"/>
      <c r="B13" s="8"/>
    </row>
    <row r="14">
      <c r="A14" s="8"/>
      <c r="B14" s="8"/>
    </row>
    <row r="15">
      <c r="A15" s="8"/>
      <c r="B15" s="8"/>
    </row>
    <row r="16">
      <c r="A16" s="8"/>
      <c r="B16" s="8"/>
    </row>
    <row r="17">
      <c r="A17" s="8"/>
      <c r="B17" s="8"/>
    </row>
    <row r="18">
      <c r="A18" s="8"/>
      <c r="B18" s="8"/>
    </row>
    <row r="19">
      <c r="A19" s="8"/>
      <c r="B19" s="8"/>
    </row>
    <row r="20">
      <c r="A20" s="8"/>
      <c r="B20" s="8"/>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1" t="s">
        <v>38</v>
      </c>
      <c r="B1" s="11" t="s">
        <v>141</v>
      </c>
      <c r="C1" s="11" t="s">
        <v>142</v>
      </c>
      <c r="D1" s="11" t="s">
        <v>143</v>
      </c>
      <c r="E1" s="11" t="s">
        <v>144</v>
      </c>
      <c r="F1" s="11" t="s">
        <v>55</v>
      </c>
    </row>
    <row r="2">
      <c r="A2" s="8"/>
      <c r="B2" s="8"/>
      <c r="C2" s="8"/>
      <c r="D2" s="8"/>
      <c r="E2" s="8"/>
      <c r="F2" s="8"/>
    </row>
    <row r="3">
      <c r="A3" s="8"/>
      <c r="B3" s="8"/>
      <c r="C3" s="8"/>
      <c r="D3" s="8"/>
      <c r="E3" s="8"/>
      <c r="F3" s="8"/>
    </row>
    <row r="4">
      <c r="A4" s="8"/>
      <c r="B4" s="8"/>
      <c r="C4" s="8"/>
      <c r="D4" s="8"/>
      <c r="E4" s="8"/>
      <c r="F4" s="8"/>
    </row>
    <row r="5">
      <c r="A5" s="8"/>
      <c r="B5" s="8"/>
      <c r="C5" s="8"/>
      <c r="D5" s="8"/>
      <c r="E5" s="8"/>
      <c r="F5" s="8"/>
    </row>
    <row r="6">
      <c r="A6" s="8"/>
      <c r="B6" s="8"/>
      <c r="C6" s="8"/>
      <c r="D6" s="8"/>
      <c r="E6" s="8"/>
      <c r="F6" s="8"/>
    </row>
    <row r="7">
      <c r="A7" s="8"/>
      <c r="B7" s="8"/>
      <c r="C7" s="8"/>
      <c r="D7" s="8"/>
      <c r="E7" s="8"/>
      <c r="F7" s="8"/>
    </row>
    <row r="8">
      <c r="A8" s="8"/>
      <c r="B8" s="8"/>
      <c r="C8" s="8"/>
      <c r="D8" s="8"/>
      <c r="E8" s="8"/>
      <c r="F8" s="8"/>
    </row>
    <row r="9">
      <c r="A9" s="8"/>
      <c r="B9" s="8"/>
      <c r="C9" s="8"/>
      <c r="D9" s="8"/>
      <c r="E9" s="8"/>
      <c r="F9" s="8"/>
    </row>
    <row r="10">
      <c r="A10" s="8"/>
      <c r="B10" s="8"/>
      <c r="C10" s="8"/>
      <c r="D10" s="8"/>
      <c r="E10" s="8"/>
      <c r="F10" s="8"/>
    </row>
    <row r="11">
      <c r="A11" s="8"/>
      <c r="B11" s="8"/>
      <c r="C11" s="8"/>
      <c r="D11" s="8"/>
      <c r="E11" s="8"/>
      <c r="F11" s="8"/>
    </row>
    <row r="12">
      <c r="A12" s="8"/>
      <c r="B12" s="8"/>
      <c r="C12" s="8"/>
      <c r="D12" s="8"/>
      <c r="E12" s="8"/>
      <c r="F12" s="8"/>
    </row>
    <row r="13">
      <c r="A13" s="8"/>
      <c r="B13" s="8"/>
      <c r="C13" s="8"/>
      <c r="D13" s="8"/>
      <c r="E13" s="8"/>
      <c r="F13" s="8"/>
    </row>
    <row r="14">
      <c r="A14" s="8"/>
      <c r="B14" s="8"/>
      <c r="C14" s="8"/>
      <c r="D14" s="8"/>
      <c r="E14" s="8"/>
      <c r="F14" s="8"/>
    </row>
    <row r="15">
      <c r="A15" s="8"/>
      <c r="B15" s="8"/>
      <c r="C15" s="8"/>
      <c r="D15" s="8"/>
      <c r="E15" s="8"/>
      <c r="F15" s="8"/>
    </row>
    <row r="16">
      <c r="A16" s="8"/>
      <c r="B16" s="8"/>
      <c r="C16" s="8"/>
      <c r="D16" s="8"/>
      <c r="E16" s="8"/>
      <c r="F16" s="8"/>
    </row>
    <row r="17">
      <c r="A17" s="8"/>
      <c r="B17" s="8"/>
      <c r="C17" s="8"/>
      <c r="D17" s="8"/>
      <c r="E17" s="8"/>
      <c r="F17" s="8"/>
    </row>
    <row r="18">
      <c r="A18" s="8"/>
      <c r="B18" s="8"/>
      <c r="C18" s="8"/>
      <c r="D18" s="8"/>
      <c r="E18" s="8"/>
      <c r="F18" s="8"/>
    </row>
    <row r="19">
      <c r="A19" s="8"/>
      <c r="B19" s="8"/>
      <c r="C19" s="8"/>
      <c r="D19" s="8"/>
      <c r="E19" s="8"/>
      <c r="F19" s="8"/>
    </row>
    <row r="20">
      <c r="A20" s="8"/>
      <c r="B20" s="8"/>
      <c r="C20" s="8"/>
      <c r="D20" s="8"/>
      <c r="E20" s="8"/>
      <c r="F20" s="8"/>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81" t="str">
        <f>'Project Team'!A1</f>
        <v>Last Name</v>
      </c>
      <c r="B1" s="81" t="str">
        <f>'Project Team'!B1</f>
        <v>First Name</v>
      </c>
      <c r="C1" s="83" t="s">
        <v>146</v>
      </c>
      <c r="D1" s="84"/>
      <c r="E1" s="85"/>
      <c r="F1" s="86"/>
      <c r="G1" s="87"/>
      <c r="H1" s="87"/>
    </row>
    <row r="2">
      <c r="A2" s="88" t="str">
        <f>'Project Team'!A2</f>
        <v>Barvencik</v>
      </c>
      <c r="B2" s="88" t="str">
        <f>'Project Team'!B2</f>
        <v>Moritz</v>
      </c>
      <c r="C2" s="89">
        <v>0.0</v>
      </c>
      <c r="D2" s="90"/>
      <c r="E2" s="91">
        <f>AVERAGE(C2:C9)</f>
        <v>0</v>
      </c>
      <c r="F2" s="92" t="str">
        <f>IF(STDEV(C2:C9) &gt; 0,"NOK", "OK")</f>
        <v>OK</v>
      </c>
      <c r="G2" s="93"/>
      <c r="H2" s="93"/>
    </row>
    <row r="3">
      <c r="A3" s="88" t="str">
        <f>'Project Team'!A3</f>
        <v>Haykır</v>
      </c>
      <c r="B3" s="88" t="str">
        <f>'Project Team'!B3</f>
        <v>Zeynep</v>
      </c>
      <c r="C3" s="89">
        <v>0.0</v>
      </c>
      <c r="D3" s="95"/>
      <c r="G3" s="96"/>
      <c r="H3" s="96"/>
    </row>
    <row r="4">
      <c r="A4" s="97" t="str">
        <f>'Project Team'!A4</f>
        <v>Thomits</v>
      </c>
      <c r="B4" s="97" t="str">
        <f>'Project Team'!B4</f>
        <v>Nicole</v>
      </c>
      <c r="C4" s="98"/>
      <c r="D4" s="90"/>
      <c r="G4" s="93"/>
      <c r="H4" s="93"/>
    </row>
    <row r="5">
      <c r="A5" s="88" t="str">
        <f>'Project Team'!A5</f>
        <v>Hirschpeck</v>
      </c>
      <c r="B5" s="88" t="str">
        <f>'Project Team'!B5</f>
        <v>Leon</v>
      </c>
      <c r="C5" s="99"/>
      <c r="D5" s="100"/>
      <c r="E5" s="100"/>
      <c r="F5" s="100"/>
      <c r="G5" s="96"/>
      <c r="H5" s="96"/>
    </row>
    <row r="6">
      <c r="A6" s="97" t="str">
        <f>'Project Team'!A6</f>
        <v>Akhlaq</v>
      </c>
      <c r="B6" s="97" t="str">
        <f>'Project Team'!B6</f>
        <v>Abdullah</v>
      </c>
      <c r="C6" s="98"/>
      <c r="D6" s="101"/>
      <c r="E6" s="102">
        <v>0.0</v>
      </c>
      <c r="F6" s="103" t="s">
        <v>147</v>
      </c>
      <c r="G6" s="93"/>
      <c r="H6" s="93"/>
    </row>
    <row r="7">
      <c r="A7" s="88" t="str">
        <f>'Project Team'!A7</f>
        <v>Haider</v>
      </c>
      <c r="B7" s="88" t="str">
        <f>'Project Team'!B7</f>
        <v>Muhammad Irfan</v>
      </c>
      <c r="C7" s="98"/>
      <c r="D7" s="100"/>
      <c r="E7" s="102">
        <v>1.0</v>
      </c>
      <c r="F7" s="103" t="s">
        <v>148</v>
      </c>
      <c r="G7" s="96"/>
      <c r="H7" s="96"/>
    </row>
    <row r="8">
      <c r="A8" s="97" t="str">
        <f>'Project Team'!A8</f>
        <v>Akram</v>
      </c>
      <c r="B8" s="97" t="str">
        <f>'Project Team'!B8</f>
        <v>Wasim</v>
      </c>
      <c r="C8" s="99"/>
      <c r="D8" s="101"/>
      <c r="E8" s="102">
        <v>2.0</v>
      </c>
      <c r="F8" s="103" t="s">
        <v>149</v>
      </c>
      <c r="G8" s="93"/>
      <c r="H8" s="93"/>
    </row>
    <row r="9">
      <c r="A9" s="104" t="str">
        <f>'Project Team'!A9</f>
        <v>Li</v>
      </c>
      <c r="B9" s="104" t="str">
        <f>'Project Team'!B9</f>
        <v>Linfeng</v>
      </c>
      <c r="C9" s="99"/>
      <c r="D9" s="100"/>
      <c r="E9" s="102">
        <v>3.0</v>
      </c>
      <c r="F9" s="103" t="s">
        <v>150</v>
      </c>
      <c r="G9" s="96"/>
      <c r="H9" s="96"/>
    </row>
    <row r="10">
      <c r="A10" s="88"/>
      <c r="B10" s="88"/>
      <c r="C10" s="99"/>
      <c r="D10" s="101"/>
      <c r="E10" s="102">
        <v>5.0</v>
      </c>
      <c r="F10" s="103" t="s">
        <v>151</v>
      </c>
      <c r="G10" s="93"/>
      <c r="H10" s="93"/>
    </row>
    <row r="11">
      <c r="A11" s="97"/>
      <c r="B11" s="97"/>
      <c r="C11" s="98"/>
      <c r="D11" s="100"/>
      <c r="E11" s="102">
        <v>8.0</v>
      </c>
      <c r="F11" s="103" t="s">
        <v>152</v>
      </c>
      <c r="G11" s="96"/>
      <c r="H11" s="96"/>
    </row>
    <row r="12">
      <c r="A12" s="88"/>
      <c r="B12" s="88"/>
      <c r="C12" s="98"/>
      <c r="D12" s="101"/>
      <c r="E12" s="102">
        <v>13.0</v>
      </c>
      <c r="F12" s="103" t="s">
        <v>153</v>
      </c>
      <c r="G12" s="93"/>
      <c r="H12" s="93"/>
    </row>
    <row r="13">
      <c r="A13" s="97"/>
      <c r="B13" s="97"/>
      <c r="C13" s="100"/>
      <c r="D13" s="100"/>
      <c r="E13" s="100"/>
      <c r="F13" s="100"/>
      <c r="G13" s="96"/>
      <c r="H13" s="96"/>
    </row>
    <row r="14">
      <c r="A14" s="105" t="s">
        <v>154</v>
      </c>
      <c r="B14" s="106"/>
      <c r="C14" s="106"/>
      <c r="D14" s="106"/>
      <c r="E14" s="106"/>
      <c r="F14" s="106"/>
      <c r="G14" s="106"/>
      <c r="H14" s="106"/>
    </row>
    <row r="15">
      <c r="A15" s="107"/>
      <c r="B15" s="107"/>
      <c r="C15" s="107"/>
      <c r="D15" s="107"/>
      <c r="E15" s="107"/>
      <c r="F15" s="107"/>
      <c r="G15" s="107"/>
      <c r="H15" s="107"/>
    </row>
    <row r="16">
      <c r="A16" s="108" t="s">
        <v>155</v>
      </c>
      <c r="B16" s="109"/>
      <c r="C16" s="109"/>
      <c r="D16" s="109"/>
      <c r="E16" s="109"/>
      <c r="F16" s="109"/>
      <c r="G16" s="109"/>
      <c r="H16" s="109"/>
    </row>
    <row r="17">
      <c r="A17" s="110" t="s">
        <v>156</v>
      </c>
      <c r="B17" s="107"/>
      <c r="C17" s="107"/>
      <c r="D17" s="107"/>
      <c r="E17" s="107"/>
      <c r="F17" s="107"/>
      <c r="G17" s="107"/>
      <c r="H17" s="107"/>
    </row>
    <row r="18">
      <c r="A18" s="108" t="s">
        <v>157</v>
      </c>
      <c r="B18" s="109"/>
      <c r="C18" s="109"/>
      <c r="D18" s="109"/>
      <c r="E18" s="109"/>
      <c r="F18" s="109"/>
      <c r="G18" s="109"/>
      <c r="H18" s="109"/>
    </row>
    <row r="19">
      <c r="A19" s="107"/>
      <c r="B19" s="107"/>
      <c r="C19" s="107"/>
      <c r="D19" s="107"/>
      <c r="E19" s="107"/>
      <c r="F19" s="107"/>
      <c r="G19" s="107"/>
      <c r="H19" s="107"/>
    </row>
    <row r="20">
      <c r="A20" s="109"/>
      <c r="B20" s="109"/>
      <c r="C20" s="109"/>
      <c r="D20" s="109"/>
      <c r="E20" s="109"/>
      <c r="F20" s="109"/>
      <c r="G20" s="109"/>
      <c r="H20" s="109"/>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